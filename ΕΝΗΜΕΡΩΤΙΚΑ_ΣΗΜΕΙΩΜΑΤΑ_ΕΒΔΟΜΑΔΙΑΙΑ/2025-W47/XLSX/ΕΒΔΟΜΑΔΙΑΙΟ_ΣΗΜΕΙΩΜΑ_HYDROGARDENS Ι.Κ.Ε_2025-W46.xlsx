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46/XLSX/"/>
    </mc:Choice>
  </mc:AlternateContent>
  <xr:revisionPtr revIDLastSave="0" documentId="8_{3E6D37C2-BAA1-B849-B7E4-2CC23AAC301C}" xr6:coauthVersionLast="47" xr6:coauthVersionMax="47" xr10:uidLastSave="{00000000-0000-0000-0000-000000000000}"/>
  <bookViews>
    <workbookView xWindow="-37060" yWindow="-7720" windowWidth="21220" windowHeight="17240" xr2:uid="{00000000-000D-0000-FFFF-FFFF00000000}"/>
  </bookViews>
  <sheets>
    <sheet name="Energy Production" sheetId="1" r:id="rId1"/>
  </sheets>
  <definedNames>
    <definedName name="_xlnm.Print_Area" localSheetId="0">'Energy Production'!$A$1:$H$31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E15" i="1"/>
  <c r="H19" i="1" s="1"/>
  <c r="D15" i="1"/>
  <c r="F15" i="1"/>
  <c r="D19" i="1" s="1"/>
  <c r="H21" i="1" s="1"/>
  <c r="H20" i="1" l="1"/>
  <c r="H22" i="1" s="1"/>
  <c r="H25" i="1"/>
  <c r="H26" i="1" s="1"/>
  <c r="H27" i="1" s="1"/>
  <c r="G5" i="1" s="1"/>
</calcChain>
</file>

<file path=xl/sharedStrings.xml><?xml version="1.0" encoding="utf-8"?>
<sst xmlns="http://schemas.openxmlformats.org/spreadsheetml/2006/main" count="55" uniqueCount="52">
  <si>
    <t>Α.Μ. ΑΠΕ</t>
  </si>
  <si>
    <t>Εταιρεία</t>
  </si>
  <si>
    <t>ΑΦΜ</t>
  </si>
  <si>
    <t>ΔΟΥ</t>
  </si>
  <si>
    <t>Διεύθυνση</t>
  </si>
  <si>
    <t>Φορέας Σωρευτικής Εκπροσώπησης ΑΠΕ (Φο.Σ.Ε.)
Διεύθυνση: Φιλοπάππου 19, Αθήνα 11741, Ελλάδα 
ΑΦΜ: 801961185 ,  ΓΕΜΗ: 167104201000           ΔΟΥ:ΦΑΕ Αθηνών , Email: info@greenvalue.gr</t>
  </si>
  <si>
    <t>522SH70212</t>
  </si>
  <si>
    <t>HYDROGARDENS Ι.Κ.Ε</t>
  </si>
  <si>
    <t>ΚΑΛΑΜΑΡΙΑΣ</t>
  </si>
  <si>
    <t>ΑΓΡΟΤΕΜΑΧΙΟ 533, ΕΠΑΝΟΜΗ ΘΕΡΜΗΣ</t>
  </si>
  <si>
    <t>info@pk_energy.gr</t>
  </si>
  <si>
    <t>ΣΗΘΥΑ</t>
  </si>
  <si>
    <t>Ημερομηνία</t>
  </si>
  <si>
    <t>Έκδοση</t>
  </si>
  <si>
    <t xml:space="preserve">Περίοδος Εκκαθάρισης </t>
  </si>
  <si>
    <t>ΣΥΝΟΛΟ ΜΕ ΦΠΑ</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</si>
  <si>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</si>
  <si>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</si>
  <si>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</si>
  <si>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</si>
  <si>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</si>
  <si>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</si>
  <si>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</si>
  <si>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</si>
  <si>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</si>
  <si>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</si>
  <si>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Σύνολο</t>
  </si>
  <si>
    <t>Αξία Ενέργειας βάσει Μετρήσεων</t>
  </si>
  <si>
    <t>ΦΠΑ (6%)</t>
  </si>
  <si>
    <t>Χρέωση ΦοΣΕ με ΦΠΑ (24%)</t>
  </si>
  <si>
    <t xml:space="preserve">Συνολικό Ποσό προς καταβολή </t>
  </si>
  <si>
    <t>Στοιχεία Τράπεζας</t>
  </si>
  <si>
    <t>ΙΒΑΝ</t>
  </si>
  <si>
    <t>GR8601105060000050600510049</t>
  </si>
  <si>
    <t>Υπολογισμός Τιμολόγησης</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</si>
  <si>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</si>
  <si>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ώρα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</si>
  <si>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Αρχική</t>
  </si>
  <si>
    <t>Τεχνολογία</t>
  </si>
  <si>
    <t>Email</t>
  </si>
  <si>
    <t>Ενημερωτικό Σημείωμα Εβδομάδας 10/11/25–16/11/25</t>
  </si>
  <si>
    <t>24/11/2025</t>
  </si>
  <si>
    <t>10/11/25-16/11/25</t>
  </si>
  <si>
    <t>Ανάλυση Εβδομαδιαίας Εκκαθάρισης Παραγωγής Ενέργειας Σταθμού</t>
  </si>
  <si>
    <t>13/11/25</t>
  </si>
  <si>
    <t>14/11/25</t>
  </si>
  <si>
    <t>15/11/25</t>
  </si>
  <si>
    <t>16/11/25</t>
  </si>
  <si>
    <t>10/11/25</t>
  </si>
  <si>
    <t>11/11/25</t>
  </si>
  <si>
    <t>12/11/25</t>
  </si>
  <si>
    <t>25/11/2025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</si>
</sst>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2]\ #,##0.00"/>
    <numFmt numFmtId="166" formatCode="#.##&quot; &quot;[$€-2]&quot;/MWh&quot;"/>
    <numFmt numFmtId="167" formatCode="#,##0.00\ &quot;€&quot;"/>
  </numFmts>
  <fonts count="20">
    <font>
      <sz val="10"/>
      <color indexed="8"/>
      <name val="Avenir Next Regular"/>
    </font>
    <font>
      <sz val="15"/>
      <color indexed="10"/>
      <name val="Avenir Next Regular"/>
    </font>
    <font>
      <b/>
      <sz val="15"/>
      <color indexed="10"/>
      <name val="Avenir Next Regular"/>
    </font>
    <font>
      <sz val="9"/>
      <color indexed="8"/>
      <name val="Avenir Next Regular"/>
    </font>
    <font>
      <b/>
      <sz val="18"/>
      <color indexed="8"/>
      <name val="Avenir Next Regular"/>
    </font>
    <font>
      <sz val="15"/>
      <color indexed="8"/>
      <name val="Avenir Next Regular"/>
    </font>
    <font>
      <b/>
      <sz val="16"/>
      <color indexed="8"/>
      <name val="Avenir Next Regular"/>
    </font>
    <font>
      <b/>
      <sz val="15"/>
      <color indexed="8"/>
      <name val="Avenir Next Regular"/>
    </font>
    <font>
      <sz val="16"/>
      <color indexed="8"/>
      <name val="Avenir Next Regular"/>
    </font>
    <font>
      <sz val="14"/>
      <color indexed="8"/>
      <name val="Avenir Next Regular"/>
    </font>
    <font>
      <b/>
      <sz val="9"/>
      <color indexed="8"/>
      <name val="Avenir Next Regular"/>
      <charset val="161"/>
    </font>
    <font>
      <b/>
      <sz val="9"/>
      <name val="Avenir Next Demi Bold"/>
      <family val="2"/>
    </font>
    <font>
      <b/>
      <sz val="16"/>
      <name val="Arial"/>
      <family val="2"/>
      <charset val="161"/>
    </font>
    <font>
      <b/>
      <sz val="16"/>
      <name val="Avenir Next Regular"/>
    </font>
    <font>
      <sz val="10"/>
      <name val="Avenir Next Regular"/>
    </font>
    <font>
      <sz val="13"/>
      <name val="Avenir Next Regular"/>
    </font>
    <font>
      <b/>
      <sz val="15"/>
      <name val="Avenir Next Regular"/>
    </font>
    <font>
      <b/>
      <sz val="14"/>
      <name val="Avenir Next Regular"/>
    </font>
    <font>
      <i/>
      <sz val="12"/>
      <name val="Avenir Next Regular"/>
    </font>
    <font>
      <sz val="15"/>
      <color indexed="8"/>
      <name val="Century Gothic"/>
      <family val="1"/>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1">
      <alignment vertical="top" wrapText="1"/>
    </xf>
  </cellStyleXfs>
  <cellXfs count="51">
    <xf numFmtId="0" fontId="0" fillId="0" borderId="0" xfId="0" applyBorder="1">
      <alignment vertical="top" wrapText="1"/>
    </xf>
    <xf numFmtId="0" fontId="3" fillId="0" borderId="0" xfId="0" applyFont="1" applyBorder="1">
      <alignment vertical="top"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1" xfId="0" applyFont="1" applyAlignment="1">
      <alignment vertical="center"/>
    </xf>
    <xf numFmtId="0" fontId="10" fillId="0" borderId="0" xfId="0" applyFont="1" applyBorder="1" applyAlignment="1">
      <alignment horizontal="center" vertical="center" wrapText="1"/>
    </xf>
    <xf numFmtId="0" fontId="6" fillId="0" borderId="1" xfId="0" applyFont="1" applyAlignment="1">
      <alignment vertical="center"/>
    </xf>
    <xf numFmtId="49" fontId="5" fillId="0" borderId="2" xfId="0" applyNumberFormat="1" applyFont="1" applyBorder="1" applyAlignment="1">
      <alignment vertical="center" wrapText="1"/>
    </xf>
    <xf numFmtId="49" fontId="8" fillId="0" borderId="2" xfId="0" applyNumberFormat="1" applyFont="1" applyBorder="1">
      <alignment vertical="top"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horizontal="center" vertical="center" wrapText="1" readingOrder="1"/>
    </xf>
    <xf numFmtId="0" fontId="1" fillId="0" borderId="2" xfId="0" applyFont="1" applyBorder="1" applyAlignment="1">
      <alignment horizontal="center" vertical="center" wrapText="1" readingOrder="1"/>
    </xf>
    <xf numFmtId="166" fontId="5" fillId="0" borderId="2" xfId="0" applyNumberFormat="1" applyFont="1" applyBorder="1" applyAlignment="1">
      <alignment vertical="center" wrapText="1"/>
    </xf>
    <xf numFmtId="165" fontId="5" fillId="0" borderId="2" xfId="0" applyNumberFormat="1" applyFont="1" applyBorder="1" applyAlignment="1">
      <alignment vertical="center" wrapText="1"/>
    </xf>
    <xf numFmtId="165" fontId="7" fillId="0" borderId="2" xfId="0" applyNumberFormat="1" applyFont="1" applyBorder="1" applyAlignment="1">
      <alignment vertical="center" wrapText="1"/>
    </xf>
    <xf numFmtId="49" fontId="11" fillId="0" borderId="2" xfId="0" applyNumberFormat="1" applyFont="1" applyBorder="1" applyAlignment="1">
      <alignment horizontal="center" vertical="center" wrapText="1"/>
    </xf>
    <xf numFmtId="49" fontId="12" fillId="0" borderId="1" xfId="0" applyNumberFormat="1" applyFont="1" applyAlignment="1">
      <alignment horizontal="center" vertical="top" wrapText="1" readingOrder="1"/>
    </xf>
    <xf numFmtId="49" fontId="12" fillId="0" borderId="1" xfId="0" applyNumberFormat="1" applyFont="1" applyAlignment="1">
      <alignment horizontal="center" vertical="center" wrapText="1" readingOrder="1"/>
    </xf>
    <xf numFmtId="49" fontId="15" fillId="0" borderId="2" xfId="0" applyNumberFormat="1" applyFont="1" applyBorder="1" applyAlignment="1">
      <alignment horizontal="center" vertical="center" wrapText="1" readingOrder="1"/>
    </xf>
    <xf numFmtId="4" fontId="16" fillId="0" borderId="2" xfId="0" applyNumberFormat="1" applyFont="1" applyBorder="1" applyAlignment="1">
      <alignment horizontal="center" vertical="center" wrapText="1"/>
    </xf>
    <xf numFmtId="4" fontId="5" fillId="0" borderId="2" xfId="0" applyNumberFormat="1" applyFont="1" applyBorder="1" applyAlignment="1">
      <alignment vertical="center" wrapText="1"/>
    </xf>
    <xf numFmtId="49" fontId="14" fillId="0" borderId="1" xfId="0" applyNumberFormat="1" applyFont="1">
      <alignment vertical="top" wrapText="1"/>
    </xf>
    <xf numFmtId="49" fontId="0" fillId="0" borderId="0" xfId="0" applyNumberFormat="1" applyBorder="1">
      <alignment vertical="top" wrapText="1"/>
    </xf>
    <xf numFmtId="49" fontId="16" fillId="0" borderId="2" xfId="0" applyNumberFormat="1" applyFont="1" applyBorder="1" applyAlignment="1">
      <alignment horizontal="center" vertical="center" wrapText="1"/>
    </xf>
    <xf numFmtId="4" fontId="19" fillId="2" borderId="2" xfId="0" applyNumberFormat="1" applyFont="1" applyFill="1" applyBorder="1" applyAlignment="1">
      <alignment horizontal="center" vertical="center" wrapText="1"/>
    </xf>
    <xf numFmtId="49" fontId="12" fillId="0" borderId="1" xfId="0" applyNumberFormat="1" applyFont="1" applyAlignment="1">
      <alignment horizontal="center" vertical="center" wrapText="1" readingOrder="1"/>
    </xf>
    <xf numFmtId="0" fontId="0" fillId="0" borderId="0" xfId="0" applyBorder="1">
      <alignment vertical="top" wrapText="1"/>
    </xf>
    <xf numFmtId="49" fontId="5" fillId="0" borderId="2" xfId="0" applyNumberFormat="1" applyFont="1" applyBorder="1" applyAlignment="1">
      <alignment horizontal="center" vertical="center" wrapText="1"/>
    </xf>
    <xf numFmtId="0" fontId="0" fillId="0" borderId="3" xfId="0" applyBorder="1" applyAlignment="1"/>
    <xf numFmtId="0" fontId="10" fillId="0" borderId="1" xfId="0" applyFont="1" applyAlignment="1">
      <alignment horizontal="center" vertical="center"/>
    </xf>
    <xf numFmtId="0" fontId="10" fillId="0" borderId="0" xfId="0" applyFont="1" applyBorder="1" applyAlignment="1">
      <alignment horizontal="center" vertical="center" wrapText="1"/>
    </xf>
    <xf numFmtId="49" fontId="11" fillId="0" borderId="2" xfId="0" applyNumberFormat="1" applyFont="1" applyBorder="1" applyAlignment="1">
      <alignment horizontal="center" vertical="center" wrapText="1"/>
    </xf>
    <xf numFmtId="0" fontId="6" fillId="0" borderId="2" xfId="0" applyFont="1" applyBorder="1" applyAlignment="1">
      <alignment horizontal="center" vertical="center"/>
    </xf>
    <xf numFmtId="0" fontId="0" fillId="0" borderId="4" xfId="0" applyBorder="1" applyAlignment="1"/>
    <xf numFmtId="49" fontId="8" fillId="0" borderId="2" xfId="0" applyNumberFormat="1" applyFont="1" applyBorder="1" applyAlignment="1">
      <alignment horizontal="center" vertical="center" wrapText="1"/>
    </xf>
    <xf numFmtId="49" fontId="0" fillId="0" borderId="3" xfId="0" applyNumberFormat="1" applyBorder="1" applyAlignment="1"/>
    <xf numFmtId="0" fontId="13" fillId="0" borderId="1" xfId="0" applyFont="1" applyAlignment="1">
      <alignment horizontal="center" vertical="center" wrapText="1"/>
    </xf>
    <xf numFmtId="49" fontId="18" fillId="0" borderId="1" xfId="0" applyNumberFormat="1" applyFont="1" applyAlignment="1">
      <alignment horizontal="right" vertical="top" wrapText="1"/>
    </xf>
    <xf numFmtId="49" fontId="14" fillId="0" borderId="1" xfId="0" applyNumberFormat="1" applyFont="1" applyAlignment="1">
      <alignment horizontal="right" vertical="top" wrapText="1"/>
    </xf>
    <xf numFmtId="49" fontId="12" fillId="0" borderId="4" xfId="0" applyNumberFormat="1" applyFont="1" applyBorder="1" applyAlignment="1">
      <alignment horizontal="center" vertical="center" wrapText="1" readingOrder="1"/>
    </xf>
    <xf numFmtId="0" fontId="9" fillId="0" borderId="1" xfId="0" applyFont="1" applyAlignment="1">
      <alignment horizontal="left" vertical="top" wrapText="1"/>
    </xf>
    <xf numFmtId="164" fontId="2" fillId="0" borderId="2" xfId="0" applyNumberFormat="1" applyFont="1" applyBorder="1" applyAlignment="1">
      <alignment horizontal="center" vertical="center"/>
    </xf>
    <xf numFmtId="0" fontId="0" fillId="0" borderId="4" xfId="0" applyBorder="1" applyAlignment="1">
      <alignment vertical="center"/>
    </xf>
    <xf numFmtId="0" fontId="0" fillId="0" borderId="3" xfId="0" applyBorder="1" applyAlignment="1">
      <alignment vertical="center"/>
    </xf>
    <xf numFmtId="4" fontId="16" fillId="0" borderId="2" xfId="0" applyNumberFormat="1" applyFont="1" applyBorder="1" applyAlignment="1">
      <alignment horizontal="center" vertical="center" wrapText="1"/>
    </xf>
    <xf numFmtId="167" fontId="2" fillId="0" borderId="2" xfId="0" applyNumberFormat="1" applyFont="1" applyBorder="1" applyAlignment="1">
      <alignment horizontal="center" vertical="center" wrapText="1" readingOrder="1"/>
    </xf>
    <xf numFmtId="49" fontId="17" fillId="0" borderId="2" xfId="0" applyNumberFormat="1" applyFont="1" applyBorder="1" applyAlignment="1">
      <alignment horizontal="center" vertical="center" wrapText="1"/>
    </xf>
    <xf numFmtId="0" fontId="6" fillId="0" borderId="4" xfId="0" applyFont="1" applyBorder="1" applyAlignment="1">
      <alignment horizontal="center" vertical="center"/>
    </xf>
    <xf numFmtId="164" fontId="19" fillId="2" borderId="6" xfId="0" applyNumberFormat="1" applyFont="1" applyFill="1" applyBorder="1" applyAlignment="1">
      <alignment horizontal="center" vertical="center" wrapText="1"/>
    </xf>
    <xf numFmtId="4" fontId="19" fillId="2" borderId="5" xfId="0" applyNumberFormat="1" applyFont="1" applyFill="1" applyBorder="1" applyAlignment="1">
      <alignment horizontal="center" vertical="center"/>
    </xf>
    <xf numFmtId="4" fontId="19" fillId="2" borderId="7" xfId="0" applyNumberFormat="1" applyFont="1" applyFill="1" applyBorder="1" applyAlignment="1">
      <alignment horizontal="center" vertical="center"/>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10700</xdr:colOff>
      <xdr:row>0</xdr:row>
      <xdr:rowOff>133440</xdr:rowOff>
    </xdr:from>
    <xdr:to>
      <xdr:col>2</xdr:col>
      <xdr:colOff>1469570</xdr:colOff>
      <xdr:row>0</xdr:row>
      <xdr:rowOff>1407893</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3271" y="133440"/>
          <a:ext cx="3055442"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A7" zoomScale="70" zoomScaleNormal="70" workbookViewId="0">
      <selection activeCell="G15" sqref="G15:H15"/>
    </sheetView>
  </sheetViews>
  <sheetFormatPr baseColWidth="10" defaultColWidth="41.6640625" defaultRowHeight="21.5" customHeight="1"/>
  <cols>
    <col min="1" max="1" width="0.83203125" customWidth="1"/>
    <col min="2" max="2" width="18" customWidth="1"/>
    <col min="3" max="3" width="23.6640625" style="22" customWidth="1"/>
    <col min="4" max="4" width="19.83203125" customWidth="1"/>
    <col min="5" max="5" width="14.83203125" customWidth="1"/>
    <col min="6" max="6" width="21.6640625" customWidth="1"/>
    <col min="7" max="7" width="31.83203125" customWidth="1"/>
    <col min="8" max="8" width="20.33203125" customWidth="1"/>
    <col min="9" max="9" width="19.6640625" style="1" customWidth="1"/>
    <col min="10" max="10" width="32.6640625" style="1" customWidth="1"/>
    <col min="11" max="11" width="29" style="1" customWidth="1"/>
    <col min="12" max="12" width="27.33203125" style="1" customWidth="1"/>
    <col min="13" max="13" width="36.83203125" style="1" customWidth="1"/>
    <col min="14" max="14" width="41.5" customWidth="1"/>
    <col min="15" max="15" width="21.5" customWidth="1"/>
    <col min="16" max="16" width="44.83203125" customWidth="1"/>
    <col min="17" max="17" width="31" customWidth="1"/>
    <col min="18" max="18" width="20.1640625" customWidth="1"/>
    <col min="19" max="19" width="55.6640625" customWidth="1"/>
    <col min="20" max="20" width="44.83203125" customWidth="1"/>
    <col min="21" max="21" width="31" customWidth="1"/>
    <col min="22" max="22" width="44.83203125" customWidth="1"/>
    <col min="23" max="23" width="31" customWidth="1"/>
    <col min="24" max="25" width="41.6640625" customWidth="1"/>
  </cols>
  <sheetData>
    <row r="1" spans="2:13" ht="146" customHeight="1">
      <c r="B1" s="1"/>
      <c r="D1" s="36" t="s">
        <v>40</v>
      </c>
      <c r="E1" s="36"/>
      <c r="F1" s="36"/>
      <c r="G1" s="37" t="s">
        <v>5</v>
      </c>
      <c r="H1" s="38"/>
      <c r="I1" s="21"/>
    </row>
    <row r="2" spans="2:13" ht="26" customHeight="1">
      <c r="B2" s="16" t="s">
        <v>0</v>
      </c>
      <c r="C2" s="16" t="s">
        <v>1</v>
      </c>
      <c r="D2" s="16" t="s">
        <v>2</v>
      </c>
      <c r="E2" s="16" t="s">
        <v>3</v>
      </c>
      <c r="F2" s="16" t="s">
        <v>4</v>
      </c>
      <c r="G2" s="16" t="s">
        <v>39</v>
      </c>
      <c r="H2" s="16" t="s">
        <v>38</v>
      </c>
    </row>
    <row r="3" spans="2:13" s="3" customFormat="1" ht="67" customHeight="1">
      <c r="B3" s="9" t="s">
        <v>6</v>
      </c>
      <c r="C3" s="18" t="s">
        <v>7</v>
      </c>
      <c r="D3" s="11">
        <v>802667720</v>
      </c>
      <c r="E3" s="10" t="s">
        <v>8</v>
      </c>
      <c r="F3" s="10" t="s">
        <v>9</v>
      </c>
      <c r="G3" s="10" t="s">
        <v>10</v>
      </c>
      <c r="H3" s="10" t="s">
        <v>11</v>
      </c>
      <c r="I3" s="2"/>
      <c r="J3" s="2"/>
      <c r="K3" s="2"/>
      <c r="L3" s="2"/>
      <c r="M3" s="2"/>
    </row>
    <row r="4" spans="2:13" ht="39" customHeight="1">
      <c r="B4" s="17" t="s">
        <v>12</v>
      </c>
      <c r="C4" s="17" t="s">
        <v>13</v>
      </c>
      <c r="D4" s="39" t="s">
        <v>14</v>
      </c>
      <c r="E4" s="39"/>
      <c r="F4" s="39"/>
      <c r="G4" s="25" t="s">
        <v>15</v>
      </c>
      <c r="H4" s="26"/>
    </row>
    <row r="5" spans="2:13" s="3" customFormat="1" ht="37" customHeight="1">
      <c r="B5" s="10" t="s">
        <v>41</v>
      </c>
      <c r="C5" s="10" t="s">
        <v>37</v>
      </c>
      <c r="D5" s="41" t="s">
        <v>42</v>
      </c>
      <c r="E5" s="42"/>
      <c r="F5" s="43"/>
      <c r="G5" s="45">
        <f>H27</f>
        <v>19518.910737509999</v>
      </c>
      <c r="H5" s="28"/>
      <c r="I5" s="2"/>
      <c r="J5" s="2"/>
      <c r="K5" s="2"/>
      <c r="L5" s="2"/>
      <c r="M5" s="2"/>
    </row>
    <row r="6" spans="2:13" ht="43.25" customHeight="1">
      <c r="B6" s="4"/>
      <c r="C6" s="47" t="s">
        <v>43</v>
      </c>
      <c r="D6" s="47"/>
      <c r="E6" s="47"/>
      <c r="F6" s="47"/>
      <c r="G6" s="47"/>
      <c r="H6" s="47"/>
    </row>
    <row r="7" spans="2:13" s="5" customFormat="1" ht="53" customHeight="1">
      <c r="C7" s="15" t="s">
        <v>16</v>
      </c>
      <c r="D7" s="15" t="s">
        <v>17</v>
      </c>
      <c r="E7" s="15" t="s">
        <v>18</v>
      </c>
      <c r="F7" s="15" t="s">
        <v>19</v>
      </c>
      <c r="G7" s="31" t="s">
        <v>20</v>
      </c>
      <c r="H7" s="28"/>
      <c r="I7" s="29"/>
      <c r="J7" s="30"/>
      <c r="K7" s="30"/>
      <c r="L7" s="30"/>
      <c r="M7" s="30"/>
    </row>
    <row r="8" spans="2:13" ht="31.75" customHeight="1">
      <c r="C8" s="48" t="s">
        <v>48</v>
      </c>
      <c r="D8" s="24">
        <v>23350.53</v>
      </c>
      <c r="E8" s="24">
        <v>2843.4181443000002</v>
      </c>
      <c r="F8" s="24">
        <v>5.84</v>
      </c>
      <c r="G8" s="49">
        <v>121.77</v>
      </c>
      <c r="H8" s="50"/>
    </row>
    <row r="9" spans="2:13" ht="30" customHeight="1">
      <c r="C9" s="48" t="s">
        <v>49</v>
      </c>
      <c r="D9" s="24">
        <v>15965.25</v>
      </c>
      <c r="E9" s="24">
        <v>1794.2474436</v>
      </c>
      <c r="F9" s="24">
        <v>3.99</v>
      </c>
      <c r="G9" s="49">
        <v>112.38</v>
      </c>
      <c r="H9" s="50"/>
    </row>
    <row r="10" spans="2:13" ht="28.5" customHeight="1">
      <c r="C10" s="48" t="s">
        <v>50</v>
      </c>
      <c r="D10" s="24">
        <v>23507.97</v>
      </c>
      <c r="E10" s="24">
        <v>3146.3832990000001</v>
      </c>
      <c r="F10" s="24">
        <v>5.88</v>
      </c>
      <c r="G10" s="49">
        <v>133.84</v>
      </c>
      <c r="H10" s="50"/>
    </row>
    <row r="11" spans="2:13" ht="28.5" customHeight="1">
      <c r="C11" s="48" t="s">
        <v>44</v>
      </c>
      <c r="D11" s="24">
        <v>23508.27</v>
      </c>
      <c r="E11" s="24">
        <v>3380.4691848000002</v>
      </c>
      <c r="F11" s="24">
        <v>5.88</v>
      </c>
      <c r="G11" s="49">
        <v>143.80000000000001</v>
      </c>
      <c r="H11" s="50"/>
    </row>
    <row r="12" spans="2:13" ht="28.5" customHeight="1">
      <c r="C12" s="48" t="s">
        <v>45</v>
      </c>
      <c r="D12" s="24">
        <v>23508.18</v>
      </c>
      <c r="E12" s="24">
        <v>2746.1342768999998</v>
      </c>
      <c r="F12" s="24">
        <v>5.88</v>
      </c>
      <c r="G12" s="49">
        <v>116.82</v>
      </c>
      <c r="H12" s="50"/>
    </row>
    <row r="13" spans="2:13" ht="28.5" customHeight="1">
      <c r="C13" s="48" t="s">
        <v>46</v>
      </c>
      <c r="D13" s="24">
        <v>23509.5</v>
      </c>
      <c r="E13" s="24">
        <v>2365.6295979000001</v>
      </c>
      <c r="F13" s="24">
        <v>5.88</v>
      </c>
      <c r="G13" s="49">
        <v>100.62</v>
      </c>
      <c r="H13" s="50"/>
    </row>
    <row r="14" spans="2:13" ht="28.5" customHeight="1">
      <c r="C14" s="48" t="s">
        <v>47</v>
      </c>
      <c r="D14" s="24">
        <v>23511.48</v>
      </c>
      <c r="E14" s="24">
        <v>2137.7847870000001</v>
      </c>
      <c r="F14" s="24">
        <v>5.88</v>
      </c>
      <c r="G14" s="49">
        <v>90.93</v>
      </c>
      <c r="H14" s="50"/>
    </row>
    <row r="15" spans="2:13" ht="57" customHeight="1">
      <c r="C15" s="23" t="s">
        <v>21</v>
      </c>
      <c r="D15" s="19">
        <f>SUM(D8:D14)</f>
        <v>156861.18000000002</v>
      </c>
      <c r="E15" s="19">
        <f>SUM(E8:E14)</f>
        <v>18414.0667335</v>
      </c>
      <c r="F15" s="19">
        <f>SUM(F8:F14)</f>
        <v>39.230000000000004</v>
      </c>
      <c r="G15" s="44">
        <f>MEDIAN(G8:H14)</f>
        <v>116.82</v>
      </c>
      <c r="H15" s="28"/>
    </row>
    <row r="16" spans="2:13" ht="28.75" customHeight="1"/>
    <row r="17" spans="2:8" ht="34" customHeight="1">
      <c r="B17" s="32" t="s">
        <v>22</v>
      </c>
      <c r="C17" s="33"/>
      <c r="D17" s="28"/>
      <c r="E17" s="6"/>
      <c r="F17" s="32" t="s">
        <v>23</v>
      </c>
      <c r="G17" s="33"/>
      <c r="H17" s="28"/>
    </row>
    <row r="18" spans="2:8" ht="55" customHeight="1">
      <c r="B18" s="27" t="s">
        <v>24</v>
      </c>
      <c r="C18" s="28"/>
      <c r="D18" s="12">
        <v>0.25</v>
      </c>
      <c r="F18" s="27" t="s">
        <v>25</v>
      </c>
      <c r="G18" s="28"/>
      <c r="H18" s="20">
        <v>156.86000000000001</v>
      </c>
    </row>
    <row r="19" spans="2:8" ht="52" customHeight="1">
      <c r="B19" s="27" t="s">
        <v>26</v>
      </c>
      <c r="C19" s="28"/>
      <c r="D19" s="20">
        <f>F15</f>
        <v>39.230000000000004</v>
      </c>
      <c r="F19" s="27" t="s">
        <v>27</v>
      </c>
      <c r="G19" s="28"/>
      <c r="H19" s="20">
        <f>E15</f>
        <v>18414.0667335</v>
      </c>
    </row>
    <row r="20" spans="2:8" ht="30" customHeight="1">
      <c r="F20" s="27" t="s">
        <v>28</v>
      </c>
      <c r="G20" s="28"/>
      <c r="H20" s="13">
        <f>H19*6%</f>
        <v>1104.8440040099999</v>
      </c>
    </row>
    <row r="21" spans="2:8" ht="29.75" customHeight="1">
      <c r="F21" s="27" t="s">
        <v>29</v>
      </c>
      <c r="G21" s="28"/>
      <c r="H21" s="13">
        <f>-(D19*1.24)</f>
        <v>-48.645200000000003</v>
      </c>
    </row>
    <row r="22" spans="2:8" ht="30" customHeight="1">
      <c r="F22" s="27" t="s">
        <v>30</v>
      </c>
      <c r="G22" s="28"/>
      <c r="H22" s="14">
        <f>H19+H20+H21</f>
        <v>19470.26553751</v>
      </c>
    </row>
    <row r="23" spans="2:8" ht="21.5" customHeight="1">
      <c r="B23" s="32" t="s">
        <v>31</v>
      </c>
      <c r="C23" s="33"/>
      <c r="D23" s="28"/>
    </row>
    <row r="24" spans="2:8" ht="36" customHeight="1">
      <c r="B24" s="7" t="s">
        <v>32</v>
      </c>
      <c r="C24" s="46" t="s">
        <v>33</v>
      </c>
      <c r="D24" s="28"/>
      <c r="F24" s="32" t="s">
        <v>34</v>
      </c>
      <c r="G24" s="33"/>
      <c r="H24" s="28"/>
    </row>
    <row r="25" spans="2:8" ht="25.25" customHeight="1">
      <c r="B25" s="8" t="s">
        <v>12</v>
      </c>
      <c r="C25" s="34" t="s">
        <v>51</v>
      </c>
      <c r="D25" s="35"/>
      <c r="F25" s="27" t="s">
        <v>27</v>
      </c>
      <c r="G25" s="28"/>
      <c r="H25" s="13">
        <f>H19</f>
        <v>18414.0667335</v>
      </c>
    </row>
    <row r="26" spans="2:8" ht="28.5" customHeight="1">
      <c r="F26" s="27" t="s">
        <v>28</v>
      </c>
      <c r="G26" s="28"/>
      <c r="H26" s="13">
        <f>H25*6%</f>
        <v>1104.8440040099999</v>
      </c>
    </row>
    <row r="27" spans="2:8" ht="28.5" customHeight="1">
      <c r="F27" s="27" t="s">
        <v>35</v>
      </c>
      <c r="G27" s="28"/>
      <c r="H27" s="13">
        <f>H25+H26</f>
        <v>19518.910737509999</v>
      </c>
    </row>
    <row r="28" spans="2:8" ht="28.75" customHeight="1"/>
    <row r="29" spans="2:8" ht="38.25" customHeight="1">
      <c r="B29" s="40" t="s">
        <v>36</v>
      </c>
      <c r="C29" s="26"/>
      <c r="D29" s="26"/>
      <c r="E29" s="26"/>
      <c r="F29" s="26"/>
      <c r="G29" s="26"/>
      <c r="H29" s="26"/>
    </row>
    <row r="30" spans="2:8" ht="39" customHeight="1">
      <c r="B30" s="26"/>
      <c r="C30" s="26"/>
      <c r="D30" s="26"/>
      <c r="E30" s="26"/>
      <c r="F30" s="26"/>
      <c r="G30" s="26"/>
      <c r="H30" s="26"/>
    </row>
    <row r="31" spans="2:8" ht="28.75" customHeight="1"/>
    <row r="33" ht="28.75" customHeight="1"/>
    <row r="35" ht="36" customHeight="1"/>
    <row r="36" ht="28.5" customHeight="1"/>
    <row r="37" ht="28.5" customHeight="1"/>
    <row r="38" ht="28.5" customHeight="1"/>
  </sheetData>
  <mergeCells count="34">
    <mergeCell ref="C25:D25"/>
    <mergeCell ref="D1:F1"/>
    <mergeCell ref="G1:H1"/>
    <mergeCell ref="D4:F4"/>
    <mergeCell ref="B29:H30"/>
    <mergeCell ref="D5:F5"/>
    <mergeCell ref="B17:D17"/>
    <mergeCell ref="G15:H15"/>
    <mergeCell ref="G5:H5"/>
    <mergeCell ref="F22:G22"/>
    <mergeCell ref="G14:H14"/>
    <mergeCell ref="C24:D24"/>
    <mergeCell ref="B23:D23"/>
    <mergeCell ref="F19:G19"/>
    <mergeCell ref="F27:G27"/>
    <mergeCell ref="B18:C18"/>
    <mergeCell ref="F21:G21"/>
    <mergeCell ref="F18:G18"/>
    <mergeCell ref="F26:G26"/>
    <mergeCell ref="F24:H24"/>
    <mergeCell ref="F25:G25"/>
    <mergeCell ref="F20:G20"/>
    <mergeCell ref="G4:H4"/>
    <mergeCell ref="B19:C19"/>
    <mergeCell ref="I7:M7"/>
    <mergeCell ref="G7:H7"/>
    <mergeCell ref="G10:H10"/>
    <mergeCell ref="G13:H13"/>
    <mergeCell ref="G9:H9"/>
    <mergeCell ref="G12:H12"/>
    <mergeCell ref="F17:H17"/>
    <mergeCell ref="G11:H11"/>
    <mergeCell ref="G8:H8"/>
    <mergeCell ref="C6:H6"/>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2025-11-07T20:21:45Z</cp:lastPrinted>
  <dcterms:created xsi:type="dcterms:W3CDTF">2025-03-17T17:41:17Z</dcterms:created>
  <dcterms:modified xsi:type="dcterms:W3CDTF">2025-11-24T13:09:59Z</dcterms:modified>
</cp:coreProperties>
</file>