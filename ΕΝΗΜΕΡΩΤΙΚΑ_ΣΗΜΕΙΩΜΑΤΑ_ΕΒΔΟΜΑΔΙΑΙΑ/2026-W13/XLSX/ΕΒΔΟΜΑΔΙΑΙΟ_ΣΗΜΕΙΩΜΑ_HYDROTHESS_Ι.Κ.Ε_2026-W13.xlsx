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29400" windowHeight="1716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Production'!$A$1:$H$55</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b val="1"/>
      <sz val="14"/>
    </font>
    <font>
      <sz val="10"/>
    </font>
    <font>
      <sz val="13"/>
    </font>
    <font>
      <b val="1"/>
      <sz val="15"/>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4">
    <xf numFmtId="0" fontId="0" fillId="0" borderId="0" applyAlignment="1" pivotButton="0" quotePrefix="0" xfId="0">
      <alignment vertical="top" wrapText="1"/>
    </xf>
    <xf numFmtId="0" fontId="1" fillId="2"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164" fontId="11" fillId="3" borderId="9" applyAlignment="1" pivotButton="0" quotePrefix="0" xfId="0">
      <alignment horizontal="center" vertical="center" wrapText="1"/>
    </xf>
    <xf numFmtId="166" fontId="11" fillId="3" borderId="10" applyAlignment="1" pivotButton="0" quotePrefix="0" xfId="0">
      <alignment horizontal="center" vertical="center" wrapText="1"/>
    </xf>
    <xf numFmtId="0" fontId="11" fillId="3" borderId="11" applyAlignment="1" pivotButton="0" quotePrefix="0" xfId="0">
      <alignment horizontal="center" vertical="center" wrapText="1"/>
    </xf>
    <xf numFmtId="0" fontId="0" fillId="0" borderId="0" pivotButton="0" quotePrefix="0" xfId="0"/>
    <xf numFmtId="0" fontId="19" fillId="3" borderId="0" applyAlignment="1" pivotButton="0" quotePrefix="0" xfId="0">
      <alignment horizontal="center" vertical="bottom" wrapText="1"/>
    </xf>
    <xf numFmtId="0" fontId="20" fillId="3" borderId="1" applyAlignment="1" pivotButton="0" quotePrefix="0" xfId="0">
      <alignment horizontal="right" vertical="center" wrapText="1"/>
    </xf>
    <xf numFmtId="0" fontId="1" fillId="3" borderId="1" applyAlignment="1" pivotButton="0" quotePrefix="0" xfId="0">
      <alignment horizontal="center" vertical="top" wrapText="1"/>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19" fillId="3" borderId="2" applyAlignment="1" pivotButton="0" quotePrefix="0" xfId="0">
      <alignment horizontal="center" vertical="center" wrapText="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wrapText="1"/>
    </xf>
    <xf numFmtId="168" fontId="11" fillId="3" borderId="1" applyAlignment="1" pivotButton="0" quotePrefix="0" xfId="0">
      <alignment vertical="center" wrapText="1"/>
    </xf>
    <xf numFmtId="164" fontId="22" fillId="3" borderId="9" applyAlignment="1" pivotButton="0" quotePrefix="0" xfId="0">
      <alignment horizontal="center" vertical="center" wrapText="1"/>
    </xf>
    <xf numFmtId="4" fontId="22" fillId="3" borderId="10" applyAlignment="1" pivotButton="0" quotePrefix="0" xfId="0">
      <alignment horizontal="center" vertical="center" wrapText="1"/>
    </xf>
    <xf numFmtId="4" fontId="22"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169" fontId="11" fillId="3" borderId="17" applyAlignment="1" pivotButton="0" quotePrefix="0" xfId="0">
      <alignment vertical="center" wrapText="1"/>
    </xf>
    <xf numFmtId="0" fontId="0" fillId="0" borderId="37" pivotButton="0" quotePrefix="0" xfId="0"/>
    <xf numFmtId="49" fontId="19" fillId="3" borderId="17" applyAlignment="1" pivotButton="0" quotePrefix="0" xfId="0">
      <alignment horizontal="right" vertical="center" wrapText="1"/>
    </xf>
    <xf numFmtId="0" fontId="0" fillId="0" borderId="25" pivotButton="0" quotePrefix="0" xfId="0"/>
    <xf numFmtId="164" fontId="19"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xf numFmtId="4" fontId="0" fillId="0" borderId="0" pivotButton="0" quotePrefix="0" xfId="0"/>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B1:M43"/>
  <sheetViews>
    <sheetView showGridLines="0" tabSelected="1" zoomScale="70" zoomScaleNormal="70" workbookViewId="0">
      <selection activeCell="I9" sqref="I9:M9"/>
    </sheetView>
  </sheetViews>
  <sheetFormatPr baseColWidth="10" defaultColWidth="41.6640625" defaultRowHeight="21.5" customHeight="1"/>
  <cols>
    <col width="0.83203125" customWidth="1" style="5" min="1" max="1"/>
    <col width="19.5" customWidth="1" style="5" min="2" max="2"/>
    <col width="22.5" customWidth="1" style="5" min="3" max="3"/>
    <col width="19.83203125" customWidth="1" style="5" min="4" max="4"/>
    <col width="14.83203125" customWidth="1" style="5" min="5" max="5"/>
    <col width="21.6640625" customWidth="1" style="5" min="6" max="6"/>
    <col width="33.5" customWidth="1" style="37" min="7" max="7"/>
    <col width="20.33203125" customWidth="1" style="5" min="8" max="8"/>
    <col width="19.6640625" customWidth="1" style="4" min="9" max="9"/>
    <col width="32.6640625" customWidth="1" style="4" min="10" max="10"/>
    <col width="29" customWidth="1" style="4" min="11" max="11"/>
    <col width="27.33203125" customWidth="1" style="4" min="12" max="12"/>
    <col width="36.83203125" customWidth="1" style="4" min="13" max="13"/>
    <col width="41.5" customWidth="1" style="5" min="14" max="14"/>
    <col width="21.5" customWidth="1" style="5" min="15" max="15"/>
    <col width="44.83203125" customWidth="1" style="5" min="16" max="16"/>
    <col width="31" customWidth="1" style="5" min="17" max="17"/>
    <col width="20.1640625" customWidth="1" style="5" min="18" max="18"/>
    <col width="55.6640625" customWidth="1" style="5" min="19" max="19"/>
    <col width="44.83203125" customWidth="1" style="5" min="20" max="20"/>
    <col width="31" customWidth="1" style="5" min="21" max="21"/>
    <col width="44.83203125" customWidth="1" style="5" min="22" max="22"/>
    <col width="31" customWidth="1" style="5" min="23" max="23"/>
    <col width="41.6640625" customWidth="1" style="5" min="24" max="24"/>
    <col width="41.6640625" customWidth="1" style="5" min="25" max="16384"/>
  </cols>
  <sheetData>
    <row r="1" ht="159" customHeight="1" s="78">
      <c r="B1" s="4" t="n"/>
      <c r="C1" s="4" t="n"/>
      <c r="D1" s="79" t="inlineStr">
        <is>
          <t>Ενημερωτικό Σημείωμα Εβδομάδας
23/03/26 – 29/03/26</t>
        </is>
      </c>
      <c r="G1" s="80" t="inlineStr">
        <is>
          <t>Φορέας Σωρευτικής Εκπροσώπησης ΑΠΕ (Φο.Σ.Ε.)
Διεύθυνση: Φιλοπάππου 19, Αθήνα 11741, Ελλάδα
ΑΦΜ: 801961185
ΓΕΜΗ: 167104201000
ΔΟΥ:ΦΑΕ Αθηνών
Email: info@greenvalue.gr</t>
        </is>
      </c>
    </row>
    <row r="2" ht="37" customHeight="1" s="78">
      <c r="B2" s="4" t="n"/>
      <c r="C2" s="81" t="n"/>
      <c r="H2" s="4" t="n"/>
    </row>
    <row r="3" ht="38" customFormat="1" customHeight="1" s="39">
      <c r="B3" s="54" t="inlineStr">
        <is>
          <t>Α.Μ. ΑΠΕ</t>
        </is>
      </c>
      <c r="C3" s="54" t="inlineStr">
        <is>
          <t>Εταιρεία</t>
        </is>
      </c>
      <c r="D3" s="54" t="inlineStr">
        <is>
          <t>ΑΦΜ</t>
        </is>
      </c>
      <c r="E3" s="54" t="inlineStr">
        <is>
          <t>ΔΟΥ</t>
        </is>
      </c>
      <c r="F3" s="54" t="inlineStr">
        <is>
          <t>Διεύθυνση</t>
        </is>
      </c>
      <c r="G3" s="54" t="inlineStr">
        <is>
          <t>Email</t>
        </is>
      </c>
      <c r="H3" s="54" t="inlineStr">
        <is>
          <t>Τεχνολογία</t>
        </is>
      </c>
      <c r="I3" s="38" t="n"/>
      <c r="J3" s="38" t="n"/>
      <c r="K3" s="38" t="n"/>
      <c r="L3" s="38" t="n"/>
      <c r="M3" s="38" t="n"/>
    </row>
    <row r="4" ht="74.5" customFormat="1" customHeight="1" s="11">
      <c r="B4" s="7" t="inlineStr">
        <is>
          <t>522SH70028</t>
        </is>
      </c>
      <c r="C4" s="82" t="inlineStr">
        <is>
          <t>HYDROTHESS Ι.Κ.Ε.</t>
        </is>
      </c>
      <c r="D4" s="9" t="n">
        <v>802574970</v>
      </c>
      <c r="E4" s="8" t="inlineStr">
        <is>
          <t>Ζ ΘΕΣΣΑΛΟΝΚΗΣ</t>
        </is>
      </c>
      <c r="F4" s="8" t="inlineStr">
        <is>
          <t>ΑΓΡΟΤΕΜΑΧΙΟ 458 Ν ΡΥΣΙΟ, ΘΕΡΜΗ ΘΕΣΣΑΛΟΝΙΚΗΣ</t>
        </is>
      </c>
      <c r="G4" s="8" t="inlineStr">
        <is>
          <t>info@pk-energy.gr</t>
        </is>
      </c>
      <c r="H4" s="8" t="inlineStr">
        <is>
          <t>ΣΗΘΥΑ</t>
        </is>
      </c>
      <c r="I4" s="10" t="n"/>
      <c r="J4" s="10" t="n"/>
      <c r="K4" s="10" t="n"/>
      <c r="L4" s="10" t="n"/>
      <c r="M4" s="10" t="n"/>
    </row>
    <row r="5" ht="47" customFormat="1" customHeight="1" s="2">
      <c r="B5" s="54" t="inlineStr">
        <is>
          <t>Ημερομηνία</t>
        </is>
      </c>
      <c r="C5" s="54" t="inlineStr">
        <is>
          <t>Έκδοση</t>
        </is>
      </c>
      <c r="D5" s="54" t="inlineStr">
        <is>
          <t xml:space="preserve">Περίοδος Εκκαθάρισης </t>
        </is>
      </c>
      <c r="G5" s="54" t="inlineStr">
        <is>
          <t>ΣΥΝΟΛΟ ΜΕ ΦΠΑ</t>
        </is>
      </c>
      <c r="I5" s="1" t="n"/>
      <c r="J5" s="1" t="n"/>
      <c r="K5" s="1" t="n"/>
      <c r="L5" s="1" t="n"/>
      <c r="M5" s="1" t="n"/>
    </row>
    <row r="6" ht="60.75" customFormat="1" customHeight="1" s="11">
      <c r="B6" s="83" t="inlineStr">
        <is>
          <t>03/04/26</t>
        </is>
      </c>
      <c r="C6" s="8" t="n"/>
      <c r="D6" s="84" t="inlineStr">
        <is>
          <t>23/03/26 - 29/03/26</t>
        </is>
      </c>
      <c r="E6" s="85" t="n"/>
      <c r="F6" s="86" t="n"/>
      <c r="G6" s="87">
        <f>H30</f>
        <v/>
      </c>
      <c r="H6" s="86" t="n"/>
      <c r="I6" s="10" t="n"/>
      <c r="J6" s="10" t="n"/>
      <c r="K6" s="10" t="n"/>
      <c r="L6" s="10" t="n"/>
      <c r="M6" s="10" t="n"/>
    </row>
    <row r="7" ht="60.75" customFormat="1" customHeight="1" s="11">
      <c r="B7" s="88" t="n"/>
      <c r="C7" s="14" t="n"/>
      <c r="D7" s="89" t="n"/>
      <c r="E7" s="89" t="n"/>
      <c r="F7" s="89" t="n"/>
      <c r="G7" s="90" t="n"/>
      <c r="H7" s="91" t="n"/>
      <c r="I7" s="10" t="n"/>
      <c r="J7" s="10" t="n"/>
      <c r="K7" s="10" t="n"/>
      <c r="L7" s="10" t="n"/>
      <c r="M7" s="10" t="n"/>
    </row>
    <row r="8" ht="43" customHeight="1" s="78" thickBot="1">
      <c r="B8" s="18" t="n"/>
      <c r="C8" s="53" t="inlineStr">
        <is>
          <t>Ανάλυση Εβδομαδιαίας Εκκαθάρισης Παραγωγής Ενέργειας Σταθμού</t>
        </is>
      </c>
      <c r="D8" s="92" t="n"/>
      <c r="E8" s="92" t="n"/>
      <c r="F8" s="92" t="n"/>
      <c r="G8" s="92" t="n"/>
      <c r="H8" s="19" t="n"/>
    </row>
    <row r="9" ht="53.5" customFormat="1" customHeight="1" s="20">
      <c r="C9" s="21" t="inlineStr">
        <is>
          <t>Περίοδος Εκκαθάρισης</t>
        </is>
      </c>
      <c r="D9" s="22" t="inlineStr">
        <is>
          <t>Παραγωγή Ενέργειας βάσει μετρήσεων (kWh)</t>
        </is>
      </c>
      <c r="E9" s="22" t="inlineStr">
        <is>
          <t>Αξία Ενέργειας βάσει μετρήσεων (€)</t>
        </is>
      </c>
      <c r="F9" s="22" t="inlineStr">
        <is>
          <t>Προμήθεια GREEN VALUE (€)</t>
        </is>
      </c>
      <c r="G9" s="23" t="inlineStr">
        <is>
          <t>Μεσοσταθμική Τιμή Αγοράς  κατά τις ώρες παραγωγής του σταθμού</t>
        </is>
      </c>
      <c r="H9" s="24" t="n"/>
      <c r="I9" s="93" t="n"/>
    </row>
    <row r="10" ht="31.75" customHeight="1" s="78">
      <c r="C10" s="94" t="inlineStr">
        <is>
          <t>23/03/26</t>
        </is>
      </c>
      <c r="D10" s="26" t="n">
        <v>22766.79</v>
      </c>
      <c r="E10" s="26" t="n">
        <v>3378.6291411</v>
      </c>
      <c r="F10" s="26" t="n">
        <v>5.69</v>
      </c>
      <c r="G10" s="95" t="n">
        <v>148.4</v>
      </c>
      <c r="H10" s="96" t="n"/>
    </row>
    <row r="11" ht="30" customHeight="1" s="78">
      <c r="C11" s="94" t="inlineStr">
        <is>
          <t>24/03/26</t>
        </is>
      </c>
      <c r="D11" s="26" t="n">
        <v>23332.11</v>
      </c>
      <c r="E11" s="26" t="n">
        <v>2573.4947121</v>
      </c>
      <c r="F11" s="26" t="n">
        <v>5.83</v>
      </c>
      <c r="G11" s="95" t="n">
        <v>110.3</v>
      </c>
      <c r="H11" s="96" t="n"/>
    </row>
    <row r="12" ht="28.5" customHeight="1" s="78">
      <c r="C12" s="94" t="inlineStr">
        <is>
          <t>25/03/26</t>
        </is>
      </c>
      <c r="D12" s="26" t="n">
        <v>9287.639999999999</v>
      </c>
      <c r="E12" s="26" t="n">
        <v>838.795395</v>
      </c>
      <c r="F12" s="26" t="n">
        <v>2.32</v>
      </c>
      <c r="G12" s="95" t="n">
        <v>90.31</v>
      </c>
      <c r="H12" s="96" t="n"/>
    </row>
    <row r="13" ht="28.5" customHeight="1" s="78">
      <c r="C13" s="94" t="inlineStr">
        <is>
          <t>26/03/26</t>
        </is>
      </c>
      <c r="D13" s="26" t="n">
        <v>4957.5</v>
      </c>
      <c r="E13" s="26" t="n">
        <v>362.2051023</v>
      </c>
      <c r="F13" s="26" t="n">
        <v>1.24</v>
      </c>
      <c r="G13" s="95" t="n">
        <v>73.06</v>
      </c>
      <c r="H13" s="96" t="n"/>
    </row>
    <row r="14" ht="28.5" customHeight="1" s="78">
      <c r="C14" s="94" t="inlineStr">
        <is>
          <t>27/03/26</t>
        </is>
      </c>
      <c r="D14" s="26" t="n">
        <v>22561.95</v>
      </c>
      <c r="E14" s="26" t="n">
        <v>2220.0968334</v>
      </c>
      <c r="F14" s="26" t="n">
        <v>5.64</v>
      </c>
      <c r="G14" s="95" t="n">
        <v>98.40000000000001</v>
      </c>
      <c r="H14" s="96" t="n"/>
    </row>
    <row r="15" ht="28.5" customHeight="1" s="78">
      <c r="C15" s="94" t="inlineStr">
        <is>
          <t>28/03/26</t>
        </is>
      </c>
      <c r="D15" s="26" t="n">
        <v>23062.65</v>
      </c>
      <c r="E15" s="26" t="n">
        <v>1941.7528029</v>
      </c>
      <c r="F15" s="26" t="n">
        <v>5.77</v>
      </c>
      <c r="G15" s="95" t="n">
        <v>84.19</v>
      </c>
      <c r="H15" s="96" t="n"/>
    </row>
    <row r="16" ht="28.5" customHeight="1" s="78">
      <c r="C16" s="94" t="inlineStr">
        <is>
          <t>29/03/26</t>
        </is>
      </c>
      <c r="D16" s="26" t="n">
        <v>16823.73</v>
      </c>
      <c r="E16" s="26" t="n">
        <v>1668.9854076</v>
      </c>
      <c r="F16" s="26" t="n">
        <v>4.21</v>
      </c>
      <c r="G16" s="95" t="n">
        <v>99.2</v>
      </c>
      <c r="H16" s="96" t="n"/>
    </row>
    <row r="17" ht="28.5" customHeight="1" s="78" thickBot="1">
      <c r="C17" s="97" t="inlineStr">
        <is>
          <t>Σύνολο</t>
        </is>
      </c>
      <c r="D17" s="98" t="n">
        <v>122792.37</v>
      </c>
      <c r="E17" s="98" t="n">
        <v>12983.96</v>
      </c>
      <c r="F17" s="98" t="n">
        <v>30.7</v>
      </c>
      <c r="G17" s="99" t="n">
        <v>105.74</v>
      </c>
      <c r="H17" s="96" t="n"/>
    </row>
    <row r="18" ht="28.5" customHeight="1" s="78">
      <c r="C18" s="32" t="n"/>
      <c r="D18" s="33" t="n"/>
      <c r="E18" s="33" t="n"/>
      <c r="F18" s="34" t="n"/>
      <c r="G18" s="100" t="n"/>
      <c r="H18" s="96" t="n"/>
    </row>
    <row r="19" ht="49" customHeight="1" s="78" thickBot="1">
      <c r="B19" s="40" t="n"/>
      <c r="C19" s="40" t="n"/>
      <c r="D19" s="40" t="n"/>
    </row>
    <row r="20" ht="31" customHeight="1" s="78">
      <c r="B20" s="68" t="inlineStr">
        <is>
          <t>Ανάλυση Χρεώσεων και Υπηρεσίων ΦοΣΕ</t>
        </is>
      </c>
      <c r="C20" s="101" t="n"/>
      <c r="D20" s="102" t="n"/>
      <c r="E20" s="19" t="n"/>
      <c r="F20" s="103" t="inlineStr">
        <is>
          <t>Υπολογισμός προς καταβολή</t>
        </is>
      </c>
      <c r="G20" s="101" t="n"/>
      <c r="H20" s="104" t="n"/>
      <c r="I20" s="44" t="n"/>
    </row>
    <row r="21" ht="36" customHeight="1" s="78">
      <c r="B21" s="59" t="inlineStr">
        <is>
          <t>Μοναδιαία Χρέωση ΦοΣΕ</t>
        </is>
      </c>
      <c r="C21" s="86" t="n"/>
      <c r="D21" s="105" t="n">
        <v>0.25</v>
      </c>
      <c r="E21" s="43" t="n"/>
      <c r="F21" s="59" t="inlineStr">
        <is>
          <t>Παραγωγή Ενέργειας βάσει Μετρήσεων (ΜWh)</t>
        </is>
      </c>
      <c r="G21" s="86" t="n"/>
      <c r="H21" s="106">
        <f>D17/1000</f>
        <v/>
      </c>
      <c r="I21" s="44" t="n"/>
    </row>
    <row r="22" ht="71.5" customHeight="1" s="78" thickBot="1">
      <c r="B22" s="61" t="inlineStr">
        <is>
          <t>Σύνολο (€)</t>
        </is>
      </c>
      <c r="C22" s="107" t="n"/>
      <c r="D22" s="42" t="n">
        <v>30.7</v>
      </c>
      <c r="E22" s="40" t="n"/>
      <c r="F22" s="59" t="inlineStr">
        <is>
          <t>Αξία Ενέργειας βάσει Μετρήσεων (€)</t>
        </is>
      </c>
      <c r="G22" s="86" t="n"/>
      <c r="H22" s="46">
        <f>E17</f>
        <v/>
      </c>
      <c r="I22" s="44" t="n"/>
    </row>
    <row r="23" ht="30" customHeight="1" s="78">
      <c r="E23" s="40" t="n"/>
      <c r="F23" s="59" t="inlineStr">
        <is>
          <t>ΦΠΑ (6%)</t>
        </is>
      </c>
      <c r="G23" s="86" t="n"/>
      <c r="H23" s="46">
        <f>H22*6%</f>
        <v/>
      </c>
      <c r="I23" s="44" t="n"/>
    </row>
    <row r="24" ht="29.75" customHeight="1" s="78">
      <c r="E24" s="40" t="n"/>
      <c r="F24" s="59" t="inlineStr">
        <is>
          <t>Χρέωση ΦοΣΕ με ΦΠΑ (24%)</t>
        </is>
      </c>
      <c r="G24" s="86" t="n"/>
      <c r="H24" s="46">
        <f>-(D22*1.24)</f>
        <v/>
      </c>
      <c r="I24" s="44" t="n"/>
    </row>
    <row r="25" ht="30" customHeight="1" s="78" thickBot="1">
      <c r="E25" s="40" t="n"/>
      <c r="F25" s="61" t="inlineStr">
        <is>
          <t xml:space="preserve">Συνολικό Ποσό προς καταβολή </t>
        </is>
      </c>
      <c r="G25" s="107" t="n"/>
      <c r="H25" s="47">
        <f>H22+H23+H24</f>
        <v/>
      </c>
      <c r="I25" s="44" t="n"/>
    </row>
    <row r="26" ht="37" customHeight="1" s="78" thickBot="1">
      <c r="B26" s="40" t="n"/>
      <c r="C26" s="40" t="n"/>
      <c r="D26" s="40" t="n"/>
      <c r="F26" s="40" t="n"/>
      <c r="G26" s="50" t="n"/>
      <c r="H26" s="40" t="n"/>
    </row>
    <row r="27" ht="36" customHeight="1" s="78">
      <c r="B27" s="68" t="inlineStr">
        <is>
          <t>Στοιχεία Τράπεζας</t>
        </is>
      </c>
      <c r="C27" s="101" t="n"/>
      <c r="D27" s="102" t="n"/>
      <c r="E27" s="40" t="n"/>
      <c r="F27" s="103" t="inlineStr">
        <is>
          <t>Υπολογισμός Τιμολόγησης</t>
        </is>
      </c>
      <c r="G27" s="101" t="n"/>
      <c r="H27" s="104" t="n"/>
      <c r="I27" s="44" t="n"/>
    </row>
    <row r="28" ht="25.25" customHeight="1" s="78">
      <c r="B28" s="48" t="inlineStr">
        <is>
          <t xml:space="preserve"> ΙΒΑΝ</t>
        </is>
      </c>
      <c r="C28" s="108" t="inlineStr">
        <is>
          <t>GR1401722180005218115365821</t>
        </is>
      </c>
      <c r="D28" s="109" t="n"/>
      <c r="E28" s="40" t="n"/>
      <c r="F28" s="59" t="inlineStr">
        <is>
          <t>Αξία Ενέργειας βάσει Μετρήσεων</t>
        </is>
      </c>
      <c r="G28" s="86" t="n"/>
      <c r="H28" s="46">
        <f>H22</f>
        <v/>
      </c>
      <c r="I28" s="44" t="n"/>
    </row>
    <row r="29" ht="28.5" customHeight="1" s="78" thickBot="1">
      <c r="B29" s="49" t="inlineStr">
        <is>
          <t xml:space="preserve"> Ημερομηνία</t>
        </is>
      </c>
      <c r="C29" s="110" t="inlineStr">
        <is>
          <t>08/04/26</t>
        </is>
      </c>
      <c r="D29" s="111" t="n"/>
      <c r="E29" s="40" t="n"/>
      <c r="F29" s="59" t="inlineStr">
        <is>
          <t>ΦΠΑ (6%)</t>
        </is>
      </c>
      <c r="G29" s="86" t="n"/>
      <c r="H29" s="46">
        <f>H28*6%</f>
        <v/>
      </c>
      <c r="I29" s="44" t="n"/>
    </row>
    <row r="30" ht="28.5" customHeight="1" s="78" thickBot="1">
      <c r="B30" s="40" t="n"/>
      <c r="C30" s="40" t="n"/>
      <c r="D30" s="40" t="n"/>
      <c r="E30" s="40" t="n"/>
      <c r="F30" s="61" t="inlineStr">
        <is>
          <t xml:space="preserve">ΓΕΝΙΚΟ ΣΥΝΟΛΟ </t>
        </is>
      </c>
      <c r="G30" s="107" t="n"/>
      <c r="H30" s="42">
        <f>H28+H29</f>
        <v/>
      </c>
      <c r="I30" s="44" t="n"/>
    </row>
    <row r="31" ht="28.75" customHeight="1" s="78"/>
    <row r="32" ht="38.25" customHeight="1" s="78">
      <c r="B32" s="112"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33" ht="39" customHeight="1" s="78"/>
    <row r="34" ht="28.75" customHeight="1" s="78"/>
    <row r="36" ht="28.75" customHeight="1" s="78"/>
    <row r="38" ht="36" customHeight="1" s="78"/>
    <row r="39" ht="28.5" customHeight="1" s="78"/>
    <row r="40" ht="28.5" customHeight="1" s="78"/>
    <row r="41" ht="28.5" customHeight="1" s="78"/>
    <row r="43">
      <c r="D43" s="113" t="n"/>
    </row>
  </sheetData>
  <mergeCells count="25">
    <mergeCell ref="I9:M9"/>
    <mergeCell ref="F20:H20"/>
    <mergeCell ref="F29:G29"/>
    <mergeCell ref="F25:G25"/>
    <mergeCell ref="B22:C22"/>
    <mergeCell ref="D1:F2"/>
    <mergeCell ref="F21:G21"/>
    <mergeCell ref="B21:C21"/>
    <mergeCell ref="C29:D29"/>
    <mergeCell ref="F24:G24"/>
    <mergeCell ref="F30:G30"/>
    <mergeCell ref="F27:H27"/>
    <mergeCell ref="G6:H6"/>
    <mergeCell ref="B20:D20"/>
    <mergeCell ref="D5:F5"/>
    <mergeCell ref="F23:G23"/>
    <mergeCell ref="G5:H5"/>
    <mergeCell ref="F22:G22"/>
    <mergeCell ref="F28:G28"/>
    <mergeCell ref="C8:G8"/>
    <mergeCell ref="B32:H33"/>
    <mergeCell ref="G1:H1"/>
    <mergeCell ref="B27:D27"/>
    <mergeCell ref="C28:D28"/>
    <mergeCell ref="D6:F6"/>
  </mergeCells>
  <pageMargins left="0.416667" right="0.416667" top="0.25" bottom="0.25" header="0.25" footer="0.25"/>
  <pageSetup orientation="portrait" scale="59" fitToHeight="0" fitToWidth="1"/>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2026-04-03T16:39:21Z</dcterms:modified>
  <cp:lastModifiedBy>Markella Bournaka</cp:lastModifiedBy>
  <cp:lastPrinted>2025-05-05T11:50:33Z</cp:lastPrinted>
</cp:coreProperties>
</file>