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4"/>
    </font>
    <font>
      <sz val="10"/>
    </font>
    <font>
      <sz val="13"/>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4">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0" applyAlignment="1" pivotButton="0" quotePrefix="0" xfId="0">
      <alignment horizontal="center" vertical="bottom"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19"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2" fillId="3" borderId="9" applyAlignment="1" pivotButton="0" quotePrefix="0" xfId="0">
      <alignment horizontal="center" vertical="center" wrapText="1"/>
    </xf>
    <xf numFmtId="4" fontId="22" fillId="3" borderId="10" applyAlignment="1" pivotButton="0" quotePrefix="0" xfId="0">
      <alignment horizontal="center" vertical="center" wrapText="1"/>
    </xf>
    <xf numFmtId="4" fontId="22"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19" fillId="3" borderId="17" applyAlignment="1" pivotButton="0" quotePrefix="0" xfId="0">
      <alignment horizontal="right" vertical="center" wrapText="1"/>
    </xf>
    <xf numFmtId="0" fontId="0" fillId="0" borderId="25" pivotButton="0" quotePrefix="0" xfId="0"/>
    <xf numFmtId="164" fontId="19"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23/03/26 – 29/03/26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641SH74174</t>
        </is>
      </c>
      <c r="C4" s="82" t="inlineStr">
        <is>
          <t>ΚΑΡΤΣΑ ΙΚΕ - ΛΑΚΚΑ</t>
        </is>
      </c>
      <c r="D4" s="9" t="n">
        <v>801541652</v>
      </c>
      <c r="E4" s="8" t="inlineStr">
        <is>
          <t>ΘΗΒΩΝ</t>
        </is>
      </c>
      <c r="F4" s="8" t="inlineStr">
        <is>
          <t>ΘΕΣΗ ΛΑΚΚΑ- ΒΟΙΩΤΙΑΣ</t>
        </is>
      </c>
      <c r="G4" s="8" t="inlineStr">
        <is>
          <t>kartsa639@gmail.com</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inlineStr">
        <is>
          <t>03/04/26</t>
        </is>
      </c>
      <c r="C6" s="8" t="n"/>
      <c r="D6" s="84" t="inlineStr">
        <is>
          <t>23/03/26 - 29/03/26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23/03/26</t>
        </is>
      </c>
      <c r="D10" s="26" t="n">
        <v>23659.08</v>
      </c>
      <c r="E10" s="26" t="n">
        <v>3485.9927295</v>
      </c>
      <c r="F10" s="26" t="n">
        <v>5.91</v>
      </c>
      <c r="G10" s="95" t="n">
        <v>147.34</v>
      </c>
      <c r="H10" s="96" t="n"/>
    </row>
    <row r="11" ht="30" customHeight="1" s="78">
      <c r="C11" s="94" t="inlineStr">
        <is>
          <t>24/03/26</t>
        </is>
      </c>
      <c r="D11" s="26" t="n">
        <v>23663.55</v>
      </c>
      <c r="E11" s="26" t="n">
        <v>2609.6168334</v>
      </c>
      <c r="F11" s="26" t="n">
        <v>5.92</v>
      </c>
      <c r="G11" s="95" t="n">
        <v>110.28</v>
      </c>
      <c r="H11" s="96" t="n"/>
    </row>
    <row r="12" ht="28.5" customHeight="1" s="78">
      <c r="C12" s="94" t="inlineStr">
        <is>
          <t>25/03/26</t>
        </is>
      </c>
      <c r="D12" s="26" t="n">
        <v>16904.73</v>
      </c>
      <c r="E12" s="26" t="n">
        <v>1867.5642114</v>
      </c>
      <c r="F12" s="26" t="n">
        <v>4.23</v>
      </c>
      <c r="G12" s="95" t="n">
        <v>110.48</v>
      </c>
      <c r="H12" s="96" t="n"/>
    </row>
    <row r="13" ht="28.5" customHeight="1" s="78">
      <c r="C13" s="94" t="inlineStr">
        <is>
          <t>26/03/26</t>
        </is>
      </c>
      <c r="D13" s="26" t="n">
        <v>17875.68</v>
      </c>
      <c r="E13" s="26" t="n">
        <v>1957.6882053</v>
      </c>
      <c r="F13" s="26" t="n">
        <v>4.47</v>
      </c>
      <c r="G13" s="95" t="n">
        <v>109.52</v>
      </c>
      <c r="H13" s="96" t="n"/>
    </row>
    <row r="14" ht="28.5" customHeight="1" s="78">
      <c r="C14" s="94" t="inlineStr">
        <is>
          <t>27/03/26</t>
        </is>
      </c>
      <c r="D14" s="26" t="n">
        <v>23527.32</v>
      </c>
      <c r="E14" s="26" t="n">
        <v>2241.7701651</v>
      </c>
      <c r="F14" s="26" t="n">
        <v>5.88</v>
      </c>
      <c r="G14" s="95" t="n">
        <v>95.28</v>
      </c>
      <c r="H14" s="96" t="n"/>
    </row>
    <row r="15" ht="28.5" customHeight="1" s="78">
      <c r="C15" s="94" t="inlineStr">
        <is>
          <t>28/03/26</t>
        </is>
      </c>
      <c r="D15" s="26" t="n">
        <v>23532.24</v>
      </c>
      <c r="E15" s="26" t="n">
        <v>1960.8904812</v>
      </c>
      <c r="F15" s="26" t="n">
        <v>5.88</v>
      </c>
      <c r="G15" s="95" t="n">
        <v>83.33</v>
      </c>
      <c r="H15" s="96" t="n"/>
    </row>
    <row r="16" ht="28.5" customHeight="1" s="78">
      <c r="C16" s="94" t="inlineStr">
        <is>
          <t>29/03/26</t>
        </is>
      </c>
      <c r="D16" s="26" t="n">
        <v>16843.41</v>
      </c>
      <c r="E16" s="26" t="n">
        <v>1632.649581</v>
      </c>
      <c r="F16" s="26" t="n">
        <v>4.21</v>
      </c>
      <c r="G16" s="95" t="n">
        <v>96.93000000000001</v>
      </c>
      <c r="H16" s="96" t="n"/>
    </row>
    <row r="17" ht="28.5" customHeight="1" s="78" thickBot="1">
      <c r="C17" s="97" t="inlineStr">
        <is>
          <t>Σύνολο</t>
        </is>
      </c>
      <c r="D17" s="98" t="n">
        <v>146006.01</v>
      </c>
      <c r="E17" s="98" t="n">
        <v>15756.17</v>
      </c>
      <c r="F17" s="98" t="n">
        <v>36.5</v>
      </c>
      <c r="G17" s="99" t="n">
        <v>107.91</v>
      </c>
      <c r="H17" s="96" t="n"/>
    </row>
    <row r="18" ht="28.5" customHeight="1" s="78">
      <c r="C18" s="32" t="n"/>
      <c r="D18" s="33" t="n"/>
      <c r="E18" s="33" t="n"/>
      <c r="F18" s="34" t="n"/>
      <c r="G18" s="100" t="n"/>
      <c r="H18" s="96" t="n"/>
    </row>
    <row r="19" ht="49" customHeight="1" s="78" thickBot="1">
      <c r="B19" s="40" t="n"/>
      <c r="C19" s="40" t="n"/>
      <c r="D19" s="40" t="n"/>
    </row>
    <row r="20" ht="31" customHeight="1" s="78">
      <c r="B20" s="68" t="inlineStr">
        <is>
          <t>Ανάλυση Χρεώσεων και Υπηρεσίων ΦοΣΕ</t>
        </is>
      </c>
      <c r="C20" s="101" t="n"/>
      <c r="D20" s="102" t="n"/>
      <c r="E20" s="19" t="n"/>
      <c r="F20" s="103" t="inlineStr">
        <is>
          <t>Υπολογισμός προς καταβολή</t>
        </is>
      </c>
      <c r="G20" s="101" t="n"/>
      <c r="H20" s="104" t="n"/>
      <c r="I20" s="44" t="n"/>
    </row>
    <row r="21" ht="36" customHeight="1" s="78">
      <c r="B21" s="59" t="inlineStr">
        <is>
          <t>Μοναδιαία Χρέωση ΦοΣΕ</t>
        </is>
      </c>
      <c r="C21" s="86" t="n"/>
      <c r="D21" s="105" t="n">
        <v>0.25</v>
      </c>
      <c r="E21" s="43" t="n"/>
      <c r="F21" s="59" t="inlineStr">
        <is>
          <t>Παραγωγή Ενέργειας βάσει Μετρήσεων (ΜWh)</t>
        </is>
      </c>
      <c r="G21" s="86" t="n"/>
      <c r="H21" s="106">
        <f>D17/1000</f>
        <v/>
      </c>
      <c r="I21" s="44" t="n"/>
    </row>
    <row r="22" ht="71.5" customHeight="1" s="78" thickBot="1">
      <c r="B22" s="61" t="inlineStr">
        <is>
          <t>Σύνολο (€)</t>
        </is>
      </c>
      <c r="C22" s="107" t="n"/>
      <c r="D22" s="42" t="n">
        <v>36.5</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7"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1" t="n"/>
      <c r="D27" s="102" t="n"/>
      <c r="E27" s="40" t="n"/>
      <c r="F27" s="103" t="inlineStr">
        <is>
          <t>Υπολογισμός Τιμολόγησης</t>
        </is>
      </c>
      <c r="G27" s="101" t="n"/>
      <c r="H27" s="104" t="n"/>
      <c r="I27" s="44" t="n"/>
    </row>
    <row r="28" ht="25.25" customHeight="1" s="78">
      <c r="B28" s="48" t="inlineStr">
        <is>
          <t xml:space="preserve"> ΙΒΑΝ</t>
        </is>
      </c>
      <c r="C28" s="108" t="inlineStr">
        <is>
          <t>GR7208900100003010004473800</t>
        </is>
      </c>
      <c r="D28" s="109"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0" t="inlineStr">
        <is>
          <t>08/04/26</t>
        </is>
      </c>
      <c r="D29" s="111"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7" t="n"/>
      <c r="H30" s="42">
        <f>H28+H29</f>
        <v/>
      </c>
      <c r="I30" s="44" t="n"/>
    </row>
    <row r="31" ht="28.75" customHeight="1" s="78"/>
    <row r="32" ht="38.25" customHeight="1" s="78">
      <c r="B32"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3" t="n"/>
    </row>
  </sheetData>
  <mergeCells count="25">
    <mergeCell ref="I9:M9"/>
    <mergeCell ref="F20:H20"/>
    <mergeCell ref="F29:G29"/>
    <mergeCell ref="F25:G25"/>
    <mergeCell ref="B22:C22"/>
    <mergeCell ref="D1:F2"/>
    <mergeCell ref="F21:G21"/>
    <mergeCell ref="B21:C21"/>
    <mergeCell ref="C29:D29"/>
    <mergeCell ref="F24:G24"/>
    <mergeCell ref="F30:G30"/>
    <mergeCell ref="F27:H27"/>
    <mergeCell ref="G6:H6"/>
    <mergeCell ref="B20:D20"/>
    <mergeCell ref="D5:F5"/>
    <mergeCell ref="F23:G23"/>
    <mergeCell ref="G5:H5"/>
    <mergeCell ref="F22:G22"/>
    <mergeCell ref="F28:G28"/>
    <mergeCell ref="C8:G8"/>
    <mergeCell ref="B32:H33"/>
    <mergeCell ref="G1:H1"/>
    <mergeCell ref="B27:D27"/>
    <mergeCell ref="C28:D28"/>
    <mergeCell ref="D6:F6"/>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2026-04-03T16:39:06Z</dcterms:modified>
  <cp:lastModifiedBy>Markella Bournaka</cp:lastModifiedBy>
  <cp:lastPrinted>2025-05-05T11:50:33Z</cp:lastPrinted>
</cp:coreProperties>
</file>