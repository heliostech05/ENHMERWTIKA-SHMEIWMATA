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30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6"/>
    </font>
    <font>
      <sz val="10"/>
    </font>
    <font>
      <sz val="13"/>
    </font>
    <font>
      <b val="1"/>
      <sz val="15"/>
    </font>
    <font>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20">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1" fillId="3" borderId="1" applyAlignment="1" pivotButton="0" quotePrefix="0" xfId="0">
      <alignment horizontal="center" vertical="top" wrapText="1"/>
    </xf>
    <xf numFmtId="0" fontId="20" fillId="0" borderId="1" applyAlignment="1" pivotButton="0" quotePrefix="0" xfId="0">
      <alignment vertical="top" wrapText="1"/>
    </xf>
    <xf numFmtId="49" fontId="21" fillId="2" borderId="1" applyAlignment="1" pivotButton="0" quotePrefix="0" xfId="0">
      <alignment horizontal="center" vertical="center" wrapText="1" readingOrder="1"/>
    </xf>
    <xf numFmtId="49" fontId="3" fillId="2" borderId="1" applyAlignment="1" pivotButton="0" quotePrefix="0" xfId="0">
      <alignment horizontal="center"/>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165" fontId="6" fillId="3" borderId="2" applyAlignment="1" pivotButton="0" quotePrefix="0" xfId="0">
      <alignment horizontal="center" vertical="center" wrapText="1" readingOrder="1"/>
    </xf>
    <xf numFmtId="0" fontId="0" fillId="0" borderId="30" pivotButton="0" quotePrefix="0" xfId="0"/>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4" fontId="0" fillId="0" borderId="0" pivotButton="0" quotePrefix="0" xfId="0"/>
    <xf numFmtId="4" fontId="10" fillId="3" borderId="5" applyAlignment="1" pivotButton="0" quotePrefix="0" xfId="0">
      <alignment horizontal="center" vertical="center" wrapText="1"/>
    </xf>
    <xf numFmtId="4" fontId="10" fillId="3" borderId="6" applyAlignment="1" pivotButton="0" quotePrefix="0" xfId="0">
      <alignment horizontal="center" vertical="center" wrapText="1"/>
    </xf>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7" applyAlignment="1" pivotButton="0" quotePrefix="0" xfId="0">
      <alignment horizontal="center" vertical="center" wrapText="1"/>
    </xf>
    <xf numFmtId="4" fontId="22" fillId="3" borderId="2" applyAlignment="1" pivotButton="0" quotePrefix="0" xfId="0">
      <alignment horizontal="center" vertical="center" wrapText="1"/>
    </xf>
    <xf numFmtId="4" fontId="22"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4" fontId="11" fillId="3" borderId="1" applyAlignment="1" pivotButton="0" quotePrefix="0" xfId="0">
      <alignment vertical="center" wrapText="1"/>
    </xf>
    <xf numFmtId="4" fontId="2" fillId="3" borderId="1" applyAlignment="1" pivotButton="0" quotePrefix="0" xfId="0">
      <alignment vertical="top"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2" pivotButton="0" quotePrefix="0" xfId="0"/>
    <xf numFmtId="0" fontId="23" fillId="0" borderId="0" pivotButton="0" quotePrefix="0" xfId="0"/>
    <xf numFmtId="49" fontId="11"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57"/>
  <sheetViews>
    <sheetView showGridLines="0" tabSelected="1" topLeftCell="A47" zoomScale="70" zoomScaleNormal="70" workbookViewId="0">
      <selection activeCell="F64" sqref="F64"/>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36" customHeight="1" s="78">
      <c r="B1" s="4" t="n"/>
      <c r="C1" s="79" t="inlineStr">
        <is>
          <t>Ενημερωτικό Σημείωμα Εβδομάδας 03/11/25–09/11/25</t>
        </is>
      </c>
    </row>
    <row r="2" ht="26" customHeight="1" s="78">
      <c r="B2" s="4" t="n"/>
      <c r="C2" s="80" t="n"/>
      <c r="G2" s="81" t="inlineStr">
        <is>
          <t>Φορέας Σωρευτικής Εκπροσώπησης ΑΠΕ (Φο.Σ.Ε.)
Διεύθυνση: Φιλοπάππου 19, Αθήνα 11741, Ελλάδα 
ΑΦΜ: 801961185 ,  ΓΕΜΗ: 167104201000           ΔΟΥ:ΦΑΕ Αθηνών , Email: info@greenvalue.gr</t>
        </is>
      </c>
    </row>
    <row r="3" ht="24" customFormat="1" customHeight="1" s="42">
      <c r="B3" s="71" t="inlineStr">
        <is>
          <t>522SH70212</t>
        </is>
      </c>
      <c r="C3" s="82" t="inlineStr">
        <is>
          <t>HYDROGARDENS Ι.Κ.Ε</t>
        </is>
      </c>
      <c r="D3" s="71" t="n">
        <v>802667720</v>
      </c>
      <c r="E3" s="71" t="inlineStr">
        <is>
          <t>ΚΑΛΑΜΑΡΙΑΣ</t>
        </is>
      </c>
      <c r="F3" s="71" t="inlineStr">
        <is>
          <t>ΑΓΡΟΤΕΜΑΧΙΟ 533, ΕΠΑΝΟΜΗ ΘΕΡΜΗΣ</t>
        </is>
      </c>
      <c r="G3" s="71" t="inlineStr">
        <is>
          <t>info@pk_energy.gr</t>
        </is>
      </c>
      <c r="H3" s="71" t="inlineStr">
        <is>
          <t>ΣΗΘΥΑ</t>
        </is>
      </c>
      <c r="I3" s="41" t="n"/>
      <c r="J3" s="41" t="n"/>
      <c r="K3" s="41" t="n"/>
      <c r="L3" s="41" t="n"/>
      <c r="M3" s="41" t="n"/>
    </row>
    <row r="4" ht="74.5" customFormat="1" customHeight="1" s="11">
      <c r="B4" s="7" t="n"/>
      <c r="C4" s="8" t="n"/>
      <c r="D4" s="9" t="n"/>
      <c r="E4" s="8" t="n"/>
      <c r="F4" s="8" t="n"/>
      <c r="G4" s="8" t="n"/>
      <c r="H4" s="8" t="n"/>
      <c r="I4" s="10" t="n"/>
      <c r="J4" s="10" t="n"/>
      <c r="K4" s="10" t="n"/>
      <c r="L4" s="10" t="n"/>
      <c r="M4" s="10" t="n"/>
    </row>
    <row r="5" ht="47" customFormat="1" customHeight="1" s="2">
      <c r="B5" s="71" t="inlineStr">
        <is>
          <t>Ημερομηνία</t>
        </is>
      </c>
      <c r="C5" s="71" t="inlineStr">
        <is>
          <t>Έκδοση</t>
        </is>
      </c>
      <c r="D5" s="83" t="inlineStr">
        <is>
          <t>03/11/25-09/11/25</t>
        </is>
      </c>
      <c r="G5" s="71" t="inlineStr">
        <is>
          <t>ΣΥΝΟΛΟ ΜΕ ΦΠΑ</t>
        </is>
      </c>
      <c r="I5" s="1" t="n"/>
      <c r="J5" s="1" t="n"/>
      <c r="K5" s="1" t="n"/>
      <c r="L5" s="1" t="n"/>
      <c r="M5" s="1" t="n"/>
    </row>
    <row r="6" ht="60.75" customFormat="1" customHeight="1" s="11">
      <c r="B6" s="84" t="n"/>
      <c r="C6" s="8" t="n"/>
      <c r="D6" s="85" t="n"/>
      <c r="G6" s="86">
        <f>H54</f>
        <v/>
      </c>
      <c r="H6" s="87"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70" t="inlineStr">
        <is>
          <t>03/11/25</t>
        </is>
      </c>
      <c r="D8" s="92" t="n">
        <v>23087.16</v>
      </c>
      <c r="E8" s="92" t="n">
        <v>2668.8121239</v>
      </c>
      <c r="F8" s="92" t="n">
        <v>5.77</v>
      </c>
      <c r="G8" s="92" t="n">
        <v>115.6</v>
      </c>
      <c r="H8" s="19" t="n"/>
    </row>
    <row r="9" ht="53.5" customFormat="1" customHeight="1" s="20">
      <c r="C9" s="21" t="inlineStr">
        <is>
          <t>04/11/25</t>
        </is>
      </c>
      <c r="D9" s="93" t="n">
        <v>23583.66</v>
      </c>
      <c r="E9" s="93" t="n">
        <v>3068.5214055</v>
      </c>
      <c r="F9" s="93" t="n">
        <v>5.9</v>
      </c>
      <c r="G9" s="94" t="n">
        <v>130.11</v>
      </c>
      <c r="H9" s="24" t="n"/>
      <c r="I9" s="95" t="n"/>
    </row>
    <row r="10" ht="31.75" customHeight="1" s="78">
      <c r="C10" s="96" t="inlineStr">
        <is>
          <t>05/11/25</t>
        </is>
      </c>
      <c r="D10" s="26" t="n">
        <v>23583.3</v>
      </c>
      <c r="E10" s="26" t="n">
        <v>2899.8489345</v>
      </c>
      <c r="F10" s="26" t="n">
        <v>5.9</v>
      </c>
      <c r="G10" s="97" t="n">
        <v>122.96</v>
      </c>
      <c r="H10" s="98" t="n"/>
    </row>
    <row r="11" ht="30" customHeight="1" s="78">
      <c r="C11" s="96" t="inlineStr">
        <is>
          <t>06/11/25</t>
        </is>
      </c>
      <c r="D11" s="26" t="n">
        <v>23573.13</v>
      </c>
      <c r="E11" s="26" t="n">
        <v>3079.2063009</v>
      </c>
      <c r="F11" s="26" t="n">
        <v>5.89</v>
      </c>
      <c r="G11" s="97" t="n">
        <v>130.62</v>
      </c>
      <c r="H11" s="98" t="n"/>
    </row>
    <row r="12" ht="28.5" customHeight="1" s="78">
      <c r="C12" s="96" t="inlineStr">
        <is>
          <t>07/11/25</t>
        </is>
      </c>
      <c r="D12" s="26" t="n">
        <v>23569.14</v>
      </c>
      <c r="E12" s="26" t="n">
        <v>3177.6097479</v>
      </c>
      <c r="F12" s="26" t="n">
        <v>5.89</v>
      </c>
      <c r="G12" s="97" t="n">
        <v>134.82</v>
      </c>
      <c r="H12" s="98" t="n"/>
    </row>
    <row r="13" ht="28.5" customHeight="1" s="78">
      <c r="C13" s="96" t="inlineStr">
        <is>
          <t>08/11/25</t>
        </is>
      </c>
      <c r="D13" s="26" t="n">
        <v>23575.47</v>
      </c>
      <c r="E13" s="26" t="n">
        <v>2623.8637221</v>
      </c>
      <c r="F13" s="26" t="n">
        <v>5.89</v>
      </c>
      <c r="G13" s="97" t="n">
        <v>111.3</v>
      </c>
      <c r="H13" s="98" t="n"/>
    </row>
    <row r="14" ht="28.5" customHeight="1" s="78">
      <c r="C14" s="96" t="inlineStr">
        <is>
          <t>09/11/25</t>
        </is>
      </c>
      <c r="D14" s="26" t="n">
        <v>23568.42</v>
      </c>
      <c r="E14" s="26" t="n">
        <v>2489.543898</v>
      </c>
      <c r="F14" s="26" t="n">
        <v>5.89</v>
      </c>
      <c r="G14" s="97" t="n">
        <v>105.63</v>
      </c>
      <c r="H14" s="98" t="n"/>
    </row>
    <row r="15" ht="28.5" customHeight="1" s="78">
      <c r="C15" s="99" t="inlineStr">
        <is>
          <t>Σύνολο Εβδομάδας</t>
        </is>
      </c>
      <c r="D15" s="100" t="n">
        <v>164540.28</v>
      </c>
      <c r="E15" s="100" t="n">
        <v>20007.41</v>
      </c>
      <c r="F15" s="100" t="n">
        <v>41.13</v>
      </c>
      <c r="G15" s="101" t="n">
        <v>121.6</v>
      </c>
      <c r="H15" s="98" t="n"/>
    </row>
    <row r="16" ht="28.5" customHeight="1" s="78">
      <c r="C16" s="96" t="n"/>
      <c r="D16" s="26" t="n"/>
      <c r="E16" s="27" t="n"/>
      <c r="F16" s="28" t="n"/>
      <c r="G16" s="102" t="n"/>
      <c r="H16" s="98" t="n"/>
    </row>
    <row r="17" ht="28.5" customHeight="1" s="78">
      <c r="C17" s="96" t="n"/>
      <c r="D17" s="26" t="n"/>
      <c r="E17" s="27" t="n"/>
      <c r="F17" s="28" t="n"/>
      <c r="G17" s="37" t="n"/>
      <c r="H17" s="98" t="n"/>
    </row>
    <row r="18" ht="28.5" customHeight="1" s="78">
      <c r="C18" s="96" t="n"/>
      <c r="D18" s="26" t="n"/>
      <c r="E18" s="27" t="n"/>
      <c r="F18" s="28" t="n"/>
      <c r="G18" s="37" t="n"/>
      <c r="H18" s="98" t="n"/>
    </row>
    <row r="19" ht="28.5" customHeight="1" s="78">
      <c r="C19" s="96" t="n"/>
      <c r="D19" s="26" t="n"/>
      <c r="E19" s="27" t="n"/>
      <c r="F19" s="28" t="n"/>
      <c r="G19" s="102" t="n"/>
      <c r="H19" s="98" t="n"/>
    </row>
    <row r="20" ht="28.5" customHeight="1" s="78">
      <c r="C20" s="96" t="n"/>
      <c r="D20" s="26" t="n"/>
      <c r="E20" s="27" t="n"/>
      <c r="F20" s="28" t="n"/>
      <c r="G20" s="102" t="n"/>
      <c r="H20" s="98" t="n"/>
    </row>
    <row r="21" ht="28.5" customHeight="1" s="78">
      <c r="C21" s="96" t="n"/>
      <c r="D21" s="26" t="n"/>
      <c r="E21" s="27" t="n"/>
      <c r="F21" s="28" t="n"/>
      <c r="G21" s="102" t="n"/>
      <c r="H21" s="98" t="n"/>
    </row>
    <row r="22" ht="28.5" customHeight="1" s="78">
      <c r="C22" s="96" t="n"/>
      <c r="D22" s="26" t="n"/>
      <c r="E22" s="27" t="n"/>
      <c r="F22" s="28" t="n"/>
      <c r="G22" s="102" t="n"/>
      <c r="H22" s="98" t="n"/>
    </row>
    <row r="23" ht="28.5" customHeight="1" s="78">
      <c r="C23" s="96" t="n"/>
      <c r="D23" s="26" t="n"/>
      <c r="E23" s="27" t="n"/>
      <c r="F23" s="28" t="n"/>
      <c r="G23" s="102" t="n"/>
      <c r="H23" s="98" t="n"/>
    </row>
    <row r="24" ht="28.5" customHeight="1" s="78">
      <c r="C24" s="96" t="n"/>
      <c r="D24" s="26" t="n"/>
      <c r="E24" s="27" t="n"/>
      <c r="F24" s="28" t="n"/>
      <c r="G24" s="102" t="n"/>
      <c r="H24" s="98" t="n"/>
    </row>
    <row r="25" ht="28.5" customHeight="1" s="78">
      <c r="C25" s="96" t="n"/>
      <c r="D25" s="26" t="n"/>
      <c r="E25" s="27" t="n"/>
      <c r="F25" s="28" t="n"/>
      <c r="G25" s="102" t="n"/>
      <c r="H25" s="98" t="n"/>
    </row>
    <row r="26" ht="28.5" customHeight="1" s="78">
      <c r="C26" s="96" t="n"/>
      <c r="D26" s="26" t="n"/>
      <c r="E26" s="27" t="n"/>
      <c r="F26" s="28" t="n"/>
      <c r="G26" s="102" t="n"/>
      <c r="H26" s="98" t="n"/>
    </row>
    <row r="27" ht="28.5" customHeight="1" s="78">
      <c r="C27" s="96" t="n"/>
      <c r="D27" s="26" t="n"/>
      <c r="E27" s="27" t="n"/>
      <c r="F27" s="28" t="n"/>
      <c r="G27" s="102" t="n"/>
      <c r="H27" s="98" t="n"/>
    </row>
    <row r="28" ht="28.5" customHeight="1" s="78">
      <c r="C28" s="96" t="n"/>
      <c r="D28" s="26" t="n"/>
      <c r="E28" s="27" t="n"/>
      <c r="F28" s="28" t="n"/>
      <c r="G28" s="102" t="n"/>
      <c r="H28" s="98" t="n"/>
    </row>
    <row r="29" ht="28.5" customHeight="1" s="78">
      <c r="C29" s="96" t="n"/>
      <c r="D29" s="26" t="n"/>
      <c r="E29" s="27" t="n"/>
      <c r="F29" s="28" t="n"/>
      <c r="G29" s="102" t="n"/>
      <c r="H29" s="98" t="n"/>
    </row>
    <row r="30" ht="28.5" customHeight="1" s="78">
      <c r="C30" s="96" t="n"/>
      <c r="D30" s="26" t="n"/>
      <c r="E30" s="27" t="n"/>
      <c r="F30" s="28" t="n"/>
      <c r="G30" s="102" t="n"/>
      <c r="H30" s="98" t="n"/>
    </row>
    <row r="31" ht="28.5" customHeight="1" s="78">
      <c r="C31" s="96" t="n"/>
      <c r="D31" s="26" t="n"/>
      <c r="E31" s="27" t="n"/>
      <c r="F31" s="28" t="n"/>
      <c r="G31" s="102" t="n"/>
      <c r="H31" s="98" t="n"/>
    </row>
    <row r="32" ht="28.5" customHeight="1" s="78">
      <c r="C32" s="96" t="n"/>
      <c r="D32" s="26" t="n"/>
      <c r="E32" s="27" t="n"/>
      <c r="F32" s="28" t="n"/>
      <c r="G32" s="102" t="n"/>
      <c r="H32" s="98" t="n"/>
    </row>
    <row r="33" ht="28.5" customHeight="1" s="78">
      <c r="C33" s="96" t="n"/>
      <c r="D33" s="26" t="n"/>
      <c r="E33" s="27" t="n"/>
      <c r="F33" s="28" t="n"/>
      <c r="G33" s="102" t="n"/>
      <c r="H33" s="98" t="n"/>
    </row>
    <row r="34" ht="28.5" customHeight="1" s="78">
      <c r="C34" s="96" t="n"/>
      <c r="D34" s="26" t="n"/>
      <c r="E34" s="27" t="n"/>
      <c r="F34" s="28" t="n"/>
      <c r="G34" s="102" t="n"/>
      <c r="H34" s="98" t="n"/>
    </row>
    <row r="35" ht="28.5" customHeight="1" s="78">
      <c r="C35" s="96" t="n"/>
      <c r="D35" s="26" t="n"/>
      <c r="E35" s="27" t="n"/>
      <c r="F35" s="28" t="n"/>
      <c r="G35" s="102" t="n"/>
      <c r="H35" s="98" t="n"/>
    </row>
    <row r="36" ht="28.5" customHeight="1" s="78">
      <c r="C36" s="96" t="n"/>
      <c r="D36" s="26" t="n"/>
      <c r="E36" s="27" t="n"/>
      <c r="F36" s="28" t="n"/>
      <c r="G36" s="102" t="n"/>
      <c r="H36" s="98" t="n"/>
    </row>
    <row r="37" ht="28.5" customHeight="1" s="78">
      <c r="C37" s="96" t="n"/>
      <c r="D37" s="26" t="n"/>
      <c r="E37" s="27" t="n"/>
      <c r="F37" s="28" t="n"/>
      <c r="G37" s="102" t="n"/>
      <c r="H37" s="98" t="n"/>
    </row>
    <row r="38" ht="28.5" customHeight="1" s="78">
      <c r="C38" s="96" t="n"/>
      <c r="D38" s="26" t="n"/>
      <c r="E38" s="27" t="n"/>
      <c r="F38" s="28" t="n"/>
      <c r="G38" s="102" t="n"/>
      <c r="H38" s="98" t="n"/>
    </row>
    <row r="39" ht="28.5" customHeight="1" s="78">
      <c r="C39" s="96" t="n"/>
      <c r="D39" s="26" t="n"/>
      <c r="E39" s="27" t="n"/>
      <c r="F39" s="28" t="n"/>
      <c r="G39" s="102" t="n"/>
      <c r="H39" s="98" t="n"/>
    </row>
    <row r="40" ht="28.5" customHeight="1" s="78">
      <c r="C40" s="96" t="n"/>
      <c r="D40" s="26" t="n"/>
      <c r="E40" s="27" t="n"/>
      <c r="F40" s="28" t="n"/>
      <c r="G40" s="102" t="n"/>
      <c r="H40" s="98" t="n"/>
    </row>
    <row r="41" ht="28.5" customHeight="1" s="78" thickBot="1">
      <c r="C41" s="30" t="n"/>
      <c r="D41" s="31" t="n"/>
      <c r="E41" s="31" t="n"/>
      <c r="F41" s="32" t="n"/>
      <c r="G41" s="103" t="n"/>
      <c r="H41" s="98" t="n"/>
    </row>
    <row r="42" ht="28.5" customHeight="1" s="78">
      <c r="C42" s="33" t="n"/>
      <c r="D42" s="34" t="n">
        <v>0.25</v>
      </c>
      <c r="E42" s="34" t="n"/>
      <c r="F42" s="35" t="n"/>
      <c r="G42" s="104" t="n"/>
      <c r="H42" s="105" t="n">
        <v>164.54</v>
      </c>
    </row>
    <row r="43" ht="49" customHeight="1" s="78" thickBot="1">
      <c r="B43" s="43" t="n"/>
      <c r="C43" s="43" t="n"/>
      <c r="D43" s="106" t="n">
        <v>41.13</v>
      </c>
      <c r="H43" s="92" t="n">
        <v>20007.41</v>
      </c>
    </row>
    <row r="44" ht="31" customHeight="1" s="78">
      <c r="B44" s="58" t="inlineStr">
        <is>
          <t>Ανάλυση Χρεώσεων και Υπηρεσίων ΦοΣΕ</t>
        </is>
      </c>
      <c r="C44" s="107" t="n"/>
      <c r="D44" s="108" t="n"/>
      <c r="E44" s="19" t="n"/>
      <c r="F44" s="109" t="inlineStr">
        <is>
          <t>Υπολογισμός προς καταβολή</t>
        </is>
      </c>
      <c r="G44" s="107" t="n"/>
      <c r="H44" s="110" t="n"/>
      <c r="I44" s="47" t="n"/>
    </row>
    <row r="45" ht="36" customHeight="1" s="78">
      <c r="B45" s="64" t="inlineStr">
        <is>
          <t>Μοναδιαία Χρέωση ΦοΣΕ</t>
        </is>
      </c>
      <c r="C45" s="87" t="n"/>
      <c r="D45" s="111" t="n"/>
      <c r="E45" s="46" t="n"/>
      <c r="F45" s="64" t="inlineStr">
        <is>
          <t>Παραγωγή Ενέργειας βάσει Μετρήσεων (ΜWh)</t>
        </is>
      </c>
      <c r="G45" s="87" t="n"/>
      <c r="H45" s="112">
        <f>D41/1000</f>
        <v/>
      </c>
      <c r="I45" s="47" t="n"/>
    </row>
    <row r="46" ht="71.5" customHeight="1" s="78" thickBot="1">
      <c r="B46" s="66" t="inlineStr">
        <is>
          <t>Σύνολο (€)</t>
        </is>
      </c>
      <c r="C46" s="113" t="n"/>
      <c r="D46" s="45">
        <f>F41*D45</f>
        <v/>
      </c>
      <c r="E46" s="43" t="n"/>
      <c r="F46" s="64" t="inlineStr">
        <is>
          <t>Αξία Ενέργειας βάσει Μετρήσεων (€)</t>
        </is>
      </c>
      <c r="G46" s="87" t="n"/>
      <c r="H46" s="49">
        <f>E41</f>
        <v/>
      </c>
      <c r="I46" s="47" t="n"/>
    </row>
    <row r="47" ht="30" customHeight="1" s="78">
      <c r="E47" s="43" t="n"/>
      <c r="F47" s="64" t="inlineStr">
        <is>
          <t>ΦΠΑ (6%)</t>
        </is>
      </c>
      <c r="G47" s="87" t="n"/>
      <c r="H47" s="49">
        <f>H46*6%</f>
        <v/>
      </c>
      <c r="I47" s="47" t="n"/>
    </row>
    <row r="48" ht="29.75" customHeight="1" s="78">
      <c r="C48" s="114" t="inlineStr">
        <is>
          <t>GR8601105060000050600510049</t>
        </is>
      </c>
      <c r="E48" s="43" t="n"/>
      <c r="F48" s="64" t="inlineStr">
        <is>
          <t>Χρέωση ΦοΣΕ με ΦΠΑ (24%)</t>
        </is>
      </c>
      <c r="G48" s="87" t="n"/>
      <c r="H48" s="49">
        <f>-(D46*1.24)</f>
        <v/>
      </c>
      <c r="I48" s="47" t="n"/>
    </row>
    <row r="49" ht="30" customHeight="1" s="78" thickBot="1">
      <c r="C49" t="inlineStr">
        <is>
          <t>22/11/25</t>
        </is>
      </c>
      <c r="E49" s="43" t="n"/>
      <c r="F49" s="66" t="inlineStr">
        <is>
          <t xml:space="preserve">Συνολικό Ποσό προς καταβολή </t>
        </is>
      </c>
      <c r="G49" s="113"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107" t="n"/>
      <c r="D51" s="108" t="n"/>
      <c r="E51" s="43" t="n"/>
      <c r="F51" s="109" t="inlineStr">
        <is>
          <t>Υπολογισμός Τιμολόγησης</t>
        </is>
      </c>
      <c r="G51" s="107" t="n"/>
      <c r="H51" s="110" t="n"/>
      <c r="I51" s="47" t="n"/>
    </row>
    <row r="52" ht="25.25" customHeight="1" s="78">
      <c r="B52" s="51" t="inlineStr">
        <is>
          <t xml:space="preserve"> ΙΒΑΝ</t>
        </is>
      </c>
      <c r="C52" s="115" t="n"/>
      <c r="D52" s="116" t="n"/>
      <c r="E52" s="43" t="n"/>
      <c r="F52" s="64" t="inlineStr">
        <is>
          <t>Αξία Ενέργειας βάσει Μετρήσεων</t>
        </is>
      </c>
      <c r="G52" s="87" t="n"/>
      <c r="H52" s="49">
        <f>H46</f>
        <v/>
      </c>
      <c r="I52" s="47" t="n"/>
    </row>
    <row r="53" ht="28.5" customHeight="1" s="78" thickBot="1">
      <c r="B53" s="52" t="inlineStr">
        <is>
          <t xml:space="preserve"> Ημερομηνία</t>
        </is>
      </c>
      <c r="C53" s="117" t="n"/>
      <c r="D53" s="118" t="n"/>
      <c r="E53" s="43" t="n"/>
      <c r="F53" s="64" t="inlineStr">
        <is>
          <t>ΦΠΑ (6%)</t>
        </is>
      </c>
      <c r="G53" s="87" t="n"/>
      <c r="H53" s="49">
        <f>H52*6%</f>
        <v/>
      </c>
      <c r="I53" s="47" t="n"/>
    </row>
    <row r="54" ht="28.5" customHeight="1" s="78" thickBot="1">
      <c r="B54" s="43" t="n"/>
      <c r="C54" s="43" t="n"/>
      <c r="D54" s="43" t="n"/>
      <c r="E54" s="43" t="n"/>
      <c r="F54" s="66" t="inlineStr">
        <is>
          <t xml:space="preserve">ΓΕΝΙΚΟ ΣΥΝΟΛΟ </t>
        </is>
      </c>
      <c r="G54" s="113" t="n"/>
      <c r="H54" s="45">
        <f>H52+H53</f>
        <v/>
      </c>
      <c r="I54" s="47" t="n"/>
    </row>
    <row r="55" ht="28.75" customHeight="1" s="78"/>
    <row r="56" ht="38.25" customHeight="1" s="78">
      <c r="B56" s="119"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28.75" customHeight="1" s="78"/>
    <row r="60" ht="28.75" customHeight="1" s="78"/>
    <row r="62" ht="36" customHeight="1" s="78"/>
    <row r="63" ht="28.5" customHeight="1" s="78"/>
    <row r="64" ht="28.5" customHeight="1" s="78"/>
    <row r="65" ht="28.5" customHeight="1" s="78"/>
  </sheetData>
  <mergeCells count="23">
    <mergeCell ref="I9:M9"/>
    <mergeCell ref="F54:G54"/>
    <mergeCell ref="G2:H2"/>
    <mergeCell ref="B46:C46"/>
    <mergeCell ref="B44:D44"/>
    <mergeCell ref="C53:D53"/>
    <mergeCell ref="F45:G45"/>
    <mergeCell ref="G6:H6"/>
    <mergeCell ref="B51:D51"/>
    <mergeCell ref="F47:G47"/>
    <mergeCell ref="D5:F5"/>
    <mergeCell ref="G5:H5"/>
    <mergeCell ref="F46:G46"/>
    <mergeCell ref="C52:D52"/>
    <mergeCell ref="F44:H44"/>
    <mergeCell ref="F52:G52"/>
    <mergeCell ref="C1:H1"/>
    <mergeCell ref="F48:G48"/>
    <mergeCell ref="B45:C45"/>
    <mergeCell ref="F49:G49"/>
    <mergeCell ref="B56:H57"/>
    <mergeCell ref="F53:G53"/>
    <mergeCell ref="F51:H51"/>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2025-11-17T14:11:21Z</dcterms:modified>
  <cp:lastModifiedBy>Markella Bournaka</cp:lastModifiedBy>
  <cp:lastPrinted>2025-05-05T11:50:33Z</cp:lastPrinted>
</cp:coreProperties>
</file>