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3260" windowHeight="124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2]\ #,##0.00"/>
    <numFmt numFmtId="166" formatCode="[$€-2]\ 0.00"/>
    <numFmt numFmtId="167" formatCode="#.##&quot; &quot;[$€-2]&quot;/MWh&quot;"/>
    <numFmt numFmtId="168" formatCode="#,##0.000"/>
    <numFmt numFmtId="169" formatCode="#,##0.00\ &quot;€&quot;"/>
  </numFmts>
  <fonts count="20">
    <font>
      <name val="Avenir Next Regular"/>
      <color indexed="8"/>
      <sz val="10"/>
    </font>
    <font>
      <name val="Avenir Next Regular"/>
      <color indexed="10"/>
      <sz val="15"/>
    </font>
    <font>
      <name val="Avenir Next Regular"/>
      <b val="1"/>
      <color indexed="10"/>
      <sz val="15"/>
    </font>
    <font>
      <name val="Avenir Next Regular"/>
      <color indexed="8"/>
      <sz val="9"/>
    </font>
    <font>
      <name val="Avenir Next Regular"/>
      <b val="1"/>
      <color indexed="8"/>
      <sz val="18"/>
    </font>
    <font>
      <name val="Avenir Next Regular"/>
      <color indexed="8"/>
      <sz val="15"/>
    </font>
    <font>
      <name val="Avenir Next Regular"/>
      <b val="1"/>
      <color indexed="8"/>
      <sz val="16"/>
    </font>
    <font>
      <name val="Avenir Next Regular"/>
      <b val="1"/>
      <color indexed="8"/>
      <sz val="15"/>
    </font>
    <font>
      <name val="Avenir Next Regular"/>
      <color indexed="8"/>
      <sz val="16"/>
    </font>
    <font>
      <name val="Avenir Next Regular"/>
      <color indexed="8"/>
      <sz val="14"/>
    </font>
    <font>
      <name val="Avenir Next Regular"/>
      <charset val="161"/>
      <b val="1"/>
      <color indexed="8"/>
      <sz val="9"/>
    </font>
    <font>
      <name val="Avenir Next Demi Bold"/>
      <family val="2"/>
      <b val="1"/>
      <sz val="9"/>
    </font>
    <font>
      <name val="Avenir Next Regular"/>
      <b val="1"/>
      <i val="1"/>
      <sz val="9"/>
    </font>
    <font>
      <name val="Arial"/>
      <charset val="161"/>
      <family val="2"/>
      <b val="1"/>
      <sz val="16"/>
    </font>
    <font>
      <name val="Avenir Next Regular"/>
      <charset val="161"/>
      <sz val="16"/>
    </font>
    <font>
      <b val="1"/>
      <sz val="16"/>
    </font>
    <font>
      <sz val="10"/>
    </font>
    <font>
      <sz val="13"/>
    </font>
    <font>
      <b val="1"/>
      <sz val="15"/>
    </font>
    <font>
      <b val="1"/>
      <sz val="14"/>
    </font>
  </fonts>
  <fills count="2">
    <fill>
      <patternFill/>
    </fill>
    <fill>
      <patternFill patternType="gray125"/>
    </fill>
  </fills>
  <borders count="8">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s>
  <cellStyleXfs count="1">
    <xf numFmtId="0" fontId="0" fillId="0" borderId="1" applyAlignment="1">
      <alignment vertical="top" wrapText="1"/>
    </xf>
  </cellStyleXfs>
  <cellXfs count="65">
    <xf numFmtId="0" fontId="0"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4" fillId="0" borderId="1" applyAlignment="1" pivotButton="0" quotePrefix="0" xfId="0">
      <alignment vertical="center"/>
    </xf>
    <xf numFmtId="0" fontId="10" fillId="0" borderId="0" applyAlignment="1" pivotButton="0" quotePrefix="0" xfId="0">
      <alignment horizontal="center" vertical="center" wrapText="1"/>
    </xf>
    <xf numFmtId="164" fontId="5" fillId="0" borderId="2" applyAlignment="1" pivotButton="0" quotePrefix="0" xfId="0">
      <alignment horizontal="center" vertical="center" wrapText="1"/>
    </xf>
    <xf numFmtId="4" fontId="5" fillId="0" borderId="2" applyAlignment="1" pivotButton="0" quotePrefix="0" xfId="0">
      <alignment horizontal="center" vertical="center" wrapText="1"/>
    </xf>
    <xf numFmtId="165" fontId="5" fillId="0" borderId="2" applyAlignment="1" pivotButton="0" quotePrefix="0" xfId="0">
      <alignment horizontal="center" vertical="center" wrapText="1"/>
    </xf>
    <xf numFmtId="166" fontId="5" fillId="0" borderId="2" applyAlignment="1" pivotButton="0" quotePrefix="0" xfId="0">
      <alignment horizontal="center" vertical="center" wrapText="1"/>
    </xf>
    <xf numFmtId="49" fontId="5" fillId="0" borderId="2" applyAlignment="1" pivotButton="0" quotePrefix="0" xfId="0">
      <alignment horizontal="center" vertical="center" wrapText="1"/>
    </xf>
    <xf numFmtId="0" fontId="6" fillId="0" borderId="1" applyAlignment="1" pivotButton="0" quotePrefix="0" xfId="0">
      <alignment vertical="center"/>
    </xf>
    <xf numFmtId="49" fontId="5" fillId="0" borderId="2" applyAlignment="1" pivotButton="0" quotePrefix="0" xfId="0">
      <alignment vertical="center" wrapText="1"/>
    </xf>
    <xf numFmtId="49" fontId="8" fillId="0" borderId="2" applyAlignment="1" pivotButton="0" quotePrefix="0" xfId="0">
      <alignment vertical="top" wrapText="1"/>
    </xf>
    <xf numFmtId="49" fontId="1" fillId="0" borderId="2" applyAlignment="1" pivotButton="0" quotePrefix="0" xfId="0">
      <alignment horizontal="center" vertical="center" wrapText="1"/>
    </xf>
    <xf numFmtId="49" fontId="1" fillId="0" borderId="2" applyAlignment="1" pivotButton="0" quotePrefix="0" xfId="0">
      <alignment horizontal="center" vertical="center" wrapText="1" readingOrder="1"/>
    </xf>
    <xf numFmtId="0" fontId="1" fillId="0" borderId="2" applyAlignment="1" pivotButton="0" quotePrefix="0" xfId="0">
      <alignment horizontal="center" vertical="center" wrapText="1" readingOrder="1"/>
    </xf>
    <xf numFmtId="164" fontId="1" fillId="0" borderId="2" applyAlignment="1" pivotButton="0" quotePrefix="0" xfId="0">
      <alignment horizontal="center" vertical="center" wrapText="1" readingOrder="1"/>
    </xf>
    <xf numFmtId="167" fontId="5" fillId="0" borderId="2" applyAlignment="1" pivotButton="0" quotePrefix="0" xfId="0">
      <alignment vertical="center" wrapText="1"/>
    </xf>
    <xf numFmtId="165" fontId="5" fillId="0" borderId="2" applyAlignment="1" pivotButton="0" quotePrefix="0" xfId="0">
      <alignment vertical="center" wrapText="1"/>
    </xf>
    <xf numFmtId="168" fontId="5" fillId="0" borderId="2" applyAlignment="1" pivotButton="0" quotePrefix="0" xfId="0">
      <alignment vertical="center" wrapText="1"/>
    </xf>
    <xf numFmtId="165" fontId="7" fillId="0" borderId="2" applyAlignment="1" pivotButton="0" quotePrefix="0" xfId="0">
      <alignment vertical="center" wrapText="1"/>
    </xf>
    <xf numFmtId="49" fontId="11" fillId="0" borderId="2" applyAlignment="1" pivotButton="0" quotePrefix="0" xfId="0">
      <alignment horizontal="center" vertical="center" wrapText="1"/>
    </xf>
    <xf numFmtId="49" fontId="13" fillId="0" borderId="1" applyAlignment="1" pivotButton="0" quotePrefix="0" xfId="0">
      <alignment horizontal="center" vertical="top" wrapText="1" readingOrder="1"/>
    </xf>
    <xf numFmtId="49" fontId="13" fillId="0" borderId="1" applyAlignment="1" pivotButton="0" quotePrefix="0" xfId="0">
      <alignment horizontal="center" vertical="center" wrapText="1" readingOrder="1"/>
    </xf>
    <xf numFmtId="49" fontId="13" fillId="0" borderId="1" applyAlignment="1" pivotButton="0" quotePrefix="0" xfId="0">
      <alignment horizontal="center" vertical="center" wrapText="1" readingOrder="1"/>
    </xf>
    <xf numFmtId="0" fontId="14" fillId="0" borderId="1" applyAlignment="1" pivotButton="0" quotePrefix="0" xfId="0">
      <alignment vertical="top" wrapText="1"/>
    </xf>
    <xf numFmtId="169" fontId="2" fillId="0" borderId="2" applyAlignment="1" pivotButton="0" quotePrefix="0" xfId="0">
      <alignment horizontal="center" vertical="center" wrapText="1" readingOrder="1"/>
    </xf>
    <xf numFmtId="169" fontId="0" fillId="0" borderId="2" applyAlignment="1" pivotButton="0" quotePrefix="0" xfId="0">
      <alignment horizontal="center" vertical="center" wrapText="1"/>
    </xf>
    <xf numFmtId="0" fontId="6" fillId="0" borderId="1" applyAlignment="1" pivotButton="0" quotePrefix="0" xfId="0">
      <alignment horizontal="center" vertical="center"/>
    </xf>
    <xf numFmtId="164" fontId="2" fillId="0" borderId="2" applyAlignment="1" pivotButton="0" quotePrefix="0" xfId="0">
      <alignment horizontal="center" vertical="center" wrapText="1" readingOrder="1"/>
    </xf>
    <xf numFmtId="167" fontId="5" fillId="0" borderId="2" applyAlignment="1" pivotButton="0" quotePrefix="0" xfId="0">
      <alignment horizontal="center" vertical="center" wrapText="1"/>
    </xf>
    <xf numFmtId="0" fontId="10" fillId="0" borderId="0" applyAlignment="1" pivotButton="0" quotePrefix="0" xfId="0">
      <alignment horizontal="center" vertical="center"/>
    </xf>
    <xf numFmtId="49" fontId="11" fillId="0" borderId="2" applyAlignment="1" pivotButton="0" quotePrefix="0" xfId="0">
      <alignment horizontal="center" vertical="center" wrapText="1"/>
    </xf>
    <xf numFmtId="0" fontId="5" fillId="0" borderId="2" applyAlignment="1" pivotButton="0" quotePrefix="0" xfId="0">
      <alignment horizontal="center" vertical="center" wrapText="1"/>
    </xf>
    <xf numFmtId="0" fontId="6" fillId="0" borderId="2" applyAlignment="1" pivotButton="0" quotePrefix="0" xfId="0">
      <alignment horizontal="center" vertical="center"/>
    </xf>
    <xf numFmtId="49" fontId="5" fillId="0" borderId="2" applyAlignment="1" pivotButton="0" quotePrefix="0" xfId="0">
      <alignment horizontal="center" vertical="center" wrapText="1"/>
    </xf>
    <xf numFmtId="0" fontId="9" fillId="0" borderId="0" applyAlignment="1" pivotButton="0" quotePrefix="0" xfId="0">
      <alignment horizontal="left" vertical="top" wrapText="1"/>
    </xf>
    <xf numFmtId="49" fontId="5" fillId="0" borderId="3" applyAlignment="1" pivotButton="0" quotePrefix="0" xfId="0">
      <alignment horizontal="center" vertical="center" wrapText="1"/>
    </xf>
    <xf numFmtId="49" fontId="5" fillId="0" borderId="4" applyAlignment="1" pivotButton="0" quotePrefix="0" xfId="0">
      <alignment horizontal="center" vertical="center" wrapText="1"/>
    </xf>
    <xf numFmtId="164" fontId="8" fillId="0" borderId="3" applyAlignment="1" pivotButton="0" quotePrefix="0" xfId="0">
      <alignment horizontal="center" vertical="center" wrapText="1"/>
    </xf>
    <xf numFmtId="164" fontId="8" fillId="0" borderId="4" applyAlignment="1" pivotButton="0" quotePrefix="0" xfId="0">
      <alignment horizontal="center" vertical="center" wrapText="1"/>
    </xf>
    <xf numFmtId="0" fontId="0" fillId="0" borderId="0" pivotButton="0" quotePrefix="0" xfId="0"/>
    <xf numFmtId="0" fontId="15" fillId="0" borderId="1" applyAlignment="1" pivotButton="0" quotePrefix="0" xfId="0">
      <alignment horizontal="center" vertical="center" wrapText="1"/>
    </xf>
    <xf numFmtId="49" fontId="16" fillId="0" borderId="1" applyAlignment="1" pivotButton="0" quotePrefix="0" xfId="0">
      <alignment vertical="top" wrapText="1"/>
    </xf>
    <xf numFmtId="49" fontId="17" fillId="0" borderId="2" applyAlignment="1" pivotButton="0" quotePrefix="0" xfId="0">
      <alignment horizontal="center" vertical="center" wrapText="1" readingOrder="1"/>
    </xf>
    <xf numFmtId="164" fontId="1" fillId="0" borderId="2" applyAlignment="1" pivotButton="0" quotePrefix="0" xfId="0">
      <alignment horizontal="center" vertical="center" wrapText="1" readingOrder="1"/>
    </xf>
    <xf numFmtId="164" fontId="2" fillId="0" borderId="2" applyAlignment="1" pivotButton="0" quotePrefix="0" xfId="0">
      <alignment horizontal="center"/>
    </xf>
    <xf numFmtId="0" fontId="0" fillId="0" borderId="7" pivotButton="0" quotePrefix="0" xfId="0"/>
    <xf numFmtId="0" fontId="0" fillId="0" borderId="4" pivotButton="0" quotePrefix="0" xfId="0"/>
    <xf numFmtId="0" fontId="10" fillId="0" borderId="1" applyAlignment="1" pivotButton="0" quotePrefix="0" xfId="0">
      <alignment horizontal="center" vertical="center"/>
    </xf>
    <xf numFmtId="164" fontId="5" fillId="0" borderId="2" applyAlignment="1" pivotButton="0" quotePrefix="0" xfId="0">
      <alignment horizontal="center" vertical="center" wrapText="1"/>
    </xf>
    <xf numFmtId="164" fontId="18" fillId="0" borderId="2" applyAlignment="1" pivotButton="0" quotePrefix="0" xfId="0">
      <alignment horizontal="center" vertical="center" wrapText="1"/>
    </xf>
    <xf numFmtId="4" fontId="18" fillId="0" borderId="2" applyAlignment="1" pivotButton="0" quotePrefix="0" xfId="0">
      <alignment horizontal="center" vertical="center" wrapText="1"/>
    </xf>
    <xf numFmtId="165" fontId="5" fillId="0" borderId="2" applyAlignment="1" pivotButton="0" quotePrefix="0" xfId="0">
      <alignment horizontal="center" vertical="center" wrapText="1"/>
    </xf>
    <xf numFmtId="166" fontId="5" fillId="0" borderId="2" applyAlignment="1" pivotButton="0" quotePrefix="0" xfId="0">
      <alignment horizontal="center" vertical="center" wrapText="1"/>
    </xf>
    <xf numFmtId="167" fontId="5" fillId="0" borderId="2" applyAlignment="1" pivotButton="0" quotePrefix="0" xfId="0">
      <alignment horizontal="center" vertical="center" wrapText="1"/>
    </xf>
    <xf numFmtId="167" fontId="5" fillId="0" borderId="2" applyAlignment="1" pivotButton="0" quotePrefix="0" xfId="0">
      <alignment vertical="center" wrapText="1"/>
    </xf>
    <xf numFmtId="4" fontId="5" fillId="0" borderId="2" applyAlignment="1" pivotButton="0" quotePrefix="0" xfId="0">
      <alignment vertical="center" wrapText="1"/>
    </xf>
    <xf numFmtId="165" fontId="5" fillId="0" borderId="2" applyAlignment="1" pivotButton="0" quotePrefix="0" xfId="0">
      <alignment vertical="center" wrapText="1"/>
    </xf>
    <xf numFmtId="165" fontId="7" fillId="0" borderId="2" applyAlignment="1" pivotButton="0" quotePrefix="0" xfId="0">
      <alignment vertical="center" wrapText="1"/>
    </xf>
    <xf numFmtId="49" fontId="19" fillId="0" borderId="2" applyAlignment="1" pivotButton="0" quotePrefix="0" xfId="0">
      <alignment horizontal="center" vertical="center" wrapText="1"/>
    </xf>
    <xf numFmtId="164" fontId="8" fillId="0" borderId="2" applyAlignment="1" pivotButton="0" quotePrefix="0" xfId="0">
      <alignment horizontal="center" vertical="center" wrapText="1"/>
    </xf>
    <xf numFmtId="0" fontId="9" fillId="0"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54"/>
  <sheetViews>
    <sheetView showGridLines="0" tabSelected="1" topLeftCell="A42" zoomScale="70" zoomScaleNormal="70" workbookViewId="0">
      <selection activeCell="B53" sqref="B53:H54"/>
    </sheetView>
  </sheetViews>
  <sheetFormatPr baseColWidth="10" defaultColWidth="41.6640625" defaultRowHeight="21.5" customHeight="1"/>
  <cols>
    <col width="0.83203125" customWidth="1" style="2" min="1" max="1"/>
    <col width="20.83203125" customWidth="1" style="2" min="2" max="2"/>
    <col width="22.5" customWidth="1" style="2" min="3" max="3"/>
    <col width="19.83203125" customWidth="1" style="2" min="4" max="4"/>
    <col width="14.83203125" customWidth="1" style="2" min="5" max="5"/>
    <col width="21.6640625" customWidth="1" style="2" min="6" max="6"/>
    <col width="33.5" customWidth="1" style="2" min="7" max="7"/>
    <col width="20.33203125" customWidth="1" style="2" min="8" max="8"/>
    <col width="19.6640625" customWidth="1" style="1" min="9" max="9"/>
    <col width="32.6640625" customWidth="1" style="1" min="10" max="10"/>
    <col width="29" customWidth="1" style="1" min="11" max="11"/>
    <col width="27.33203125" customWidth="1" style="1" min="12" max="12"/>
    <col width="36.83203125" customWidth="1" style="1" min="13" max="13"/>
    <col width="41.5" customWidth="1" style="2" min="14" max="14"/>
    <col width="21.5" customWidth="1" style="2" min="15" max="15"/>
    <col width="44.83203125" customWidth="1" style="2" min="16" max="16"/>
    <col width="31" customWidth="1" style="2" min="17" max="17"/>
    <col width="20.1640625" customWidth="1" style="2" min="18" max="18"/>
    <col width="55.6640625" customWidth="1" style="2" min="19" max="19"/>
    <col width="44.83203125" customWidth="1" style="2" min="20" max="20"/>
    <col width="31" customWidth="1" style="2" min="21" max="21"/>
    <col width="44.83203125" customWidth="1" style="2" min="22" max="22"/>
    <col width="31" customWidth="1" style="2" min="23" max="23"/>
    <col width="41.6640625" customWidth="1" style="2" min="24" max="24"/>
    <col width="41.6640625" customWidth="1" style="2" min="25" max="16384"/>
  </cols>
  <sheetData>
    <row r="1" ht="36" customHeight="1" s="43">
      <c r="B1" s="1" t="n"/>
      <c r="C1" s="44" t="inlineStr">
        <is>
          <t>Ενημερωτικό Σημείωμα Εβδομάδας 20/10/25–26/10/25</t>
        </is>
      </c>
    </row>
    <row r="2" ht="26" customHeight="1" s="43">
      <c r="B2" s="24" t="inlineStr">
        <is>
          <t>Α.Μ. ΑΠΕ</t>
        </is>
      </c>
      <c r="C2" s="24" t="inlineStr">
        <is>
          <t>Εταιρεία</t>
        </is>
      </c>
      <c r="D2" s="24" t="inlineStr">
        <is>
          <t>ΑΦΜ</t>
        </is>
      </c>
      <c r="E2" s="24" t="inlineStr">
        <is>
          <t>ΔΟΥ</t>
        </is>
      </c>
      <c r="F2" s="24" t="inlineStr">
        <is>
          <t>Διεύθυνση</t>
        </is>
      </c>
      <c r="G2" s="45" t="inlineStr">
        <is>
          <t>Φορέας Σωρευτικής Εκπροσώπησης ΑΠΕ (Φο.Σ.Ε.)
Διεύθυνση: Φιλοπάππου 19, Αθήνα 11741, Ελλάδα 
ΑΦΜ: 801961185 ,  ΓΕΜΗ: 167104201000           ΔΟΥ:ΦΑΕ Αθηνών , Email: info@greenvalue.gr</t>
        </is>
      </c>
    </row>
    <row r="3" ht="24" customFormat="1" customHeight="1" s="4">
      <c r="B3" s="15" t="inlineStr">
        <is>
          <t>522SH70212</t>
        </is>
      </c>
      <c r="C3" s="46" t="inlineStr">
        <is>
          <t>HYDROGARDENS Ι.Κ.Ε</t>
        </is>
      </c>
      <c r="D3" s="17" t="n">
        <v>802667720</v>
      </c>
      <c r="E3" s="16" t="inlineStr">
        <is>
          <t>ΚΑΛΑΜΑΡΙΑΣ</t>
        </is>
      </c>
      <c r="F3" s="16" t="inlineStr">
        <is>
          <t>ΑΓΡΟΤΕΜΑΧΙΟ 533, ΕΠΑΝΟΜΗ ΘΕΡΜΗΣ</t>
        </is>
      </c>
      <c r="G3" s="16" t="inlineStr">
        <is>
          <t>info@pk_energy.gr</t>
        </is>
      </c>
      <c r="H3" s="16" t="inlineStr">
        <is>
          <t>ΣΗΘΥΑ</t>
        </is>
      </c>
      <c r="I3" s="3" t="n"/>
      <c r="J3" s="3" t="n"/>
      <c r="K3" s="3" t="n"/>
      <c r="L3" s="3" t="n"/>
      <c r="M3" s="3" t="n"/>
    </row>
    <row r="4" ht="60.75" customHeight="1" s="43">
      <c r="B4" s="26" t="inlineStr">
        <is>
          <t>Ημερομηνία</t>
        </is>
      </c>
      <c r="C4" s="26" t="inlineStr">
        <is>
          <t>Έκδοση</t>
        </is>
      </c>
      <c r="D4" s="26" t="inlineStr">
        <is>
          <t xml:space="preserve">Περίοδος Εκκαθάρισης </t>
        </is>
      </c>
      <c r="G4" s="26" t="inlineStr">
        <is>
          <t>ΣΥΝΟΛΟ ΜΕ ΦΠΑ</t>
        </is>
      </c>
    </row>
    <row r="5" ht="60.75" customFormat="1" customHeight="1" s="4">
      <c r="B5" s="47" t="n"/>
      <c r="C5" s="16" t="n"/>
      <c r="D5" s="48" t="inlineStr">
        <is>
          <t>20/10/25-26/10/25</t>
        </is>
      </c>
      <c r="E5" s="49" t="n"/>
      <c r="F5" s="50" t="n"/>
      <c r="G5" s="28">
        <f>H51</f>
        <v/>
      </c>
      <c r="H5" s="50" t="n"/>
      <c r="I5" s="3" t="n"/>
      <c r="J5" s="3" t="n"/>
      <c r="K5" s="3" t="n"/>
      <c r="L5" s="3" t="n"/>
      <c r="M5" s="3" t="n"/>
    </row>
    <row r="6" ht="43.25" customHeight="1" s="43">
      <c r="B6" s="5" t="n"/>
      <c r="C6" s="30" t="inlineStr">
        <is>
          <t>Ανάλυση Μηνιαίας Εκκαθάρισης Παραγωγής Ενέργειας Σταθμού</t>
        </is>
      </c>
    </row>
    <row r="7" ht="53.5" customFormat="1" customHeight="1" s="6">
      <c r="C7" s="34" t="inlineStr">
        <is>
          <t>Περίοδος Εκκαθάρισης</t>
        </is>
      </c>
      <c r="D7" s="34" t="inlineStr">
        <is>
          <t>Παραγωγή Ενέργειας βάσει μετρήσεων (kWh)</t>
        </is>
      </c>
      <c r="E7" s="34" t="inlineStr">
        <is>
          <t>Αξία Ενέργειας βάσει μετρήσεων</t>
        </is>
      </c>
      <c r="F7" s="34" t="inlineStr">
        <is>
          <t>Προμήθεια GREEN VALUE</t>
        </is>
      </c>
      <c r="G7" s="34" t="inlineStr">
        <is>
          <t>Μεσοσταθμική Τιμή Αγοράς  κατά τις ώρες παραγωγής του σταθμού</t>
        </is>
      </c>
      <c r="H7" s="50" t="n"/>
      <c r="I7" s="51" t="n"/>
    </row>
    <row r="8" ht="31.75" customHeight="1" s="43">
      <c r="C8" s="52" t="inlineStr">
        <is>
          <t>20/10/25</t>
        </is>
      </c>
      <c r="D8" s="8" t="n">
        <v>22485.48</v>
      </c>
      <c r="E8" s="8" t="n">
        <v>3611.3359</v>
      </c>
      <c r="F8" s="8" t="n">
        <v>5.62</v>
      </c>
      <c r="G8" s="8" t="n">
        <v>160.61</v>
      </c>
      <c r="H8" s="50" t="n"/>
    </row>
    <row r="9" ht="30" customHeight="1" s="43">
      <c r="C9" s="52" t="inlineStr">
        <is>
          <t>21/10/25</t>
        </is>
      </c>
      <c r="D9" s="8" t="n">
        <v>23559.45</v>
      </c>
      <c r="E9" s="8" t="n">
        <v>3608.8728</v>
      </c>
      <c r="F9" s="8" t="n">
        <v>5.89</v>
      </c>
      <c r="G9" s="8" t="n">
        <v>153.18</v>
      </c>
      <c r="H9" s="50" t="n"/>
    </row>
    <row r="10" ht="28.5" customHeight="1" s="43">
      <c r="C10" s="52" t="inlineStr">
        <is>
          <t>22/10/25</t>
        </is>
      </c>
      <c r="D10" s="8" t="n">
        <v>22468.17</v>
      </c>
      <c r="E10" s="8" t="n">
        <v>3121.5343</v>
      </c>
      <c r="F10" s="8" t="n">
        <v>5.62</v>
      </c>
      <c r="G10" s="8" t="n">
        <v>138.93</v>
      </c>
      <c r="H10" s="50" t="n"/>
    </row>
    <row r="11" ht="28.5" customHeight="1" s="43">
      <c r="C11" s="52" t="inlineStr">
        <is>
          <t>23/10/25</t>
        </is>
      </c>
      <c r="D11" s="8" t="n">
        <v>23552.91</v>
      </c>
      <c r="E11" s="8" t="n">
        <v>2614.8091</v>
      </c>
      <c r="F11" s="8" t="n">
        <v>5.89</v>
      </c>
      <c r="G11" s="8" t="n">
        <v>111.02</v>
      </c>
      <c r="H11" s="50" t="n"/>
    </row>
    <row r="12" ht="28.5" customHeight="1" s="43">
      <c r="C12" s="52" t="inlineStr">
        <is>
          <t>24/10/25</t>
        </is>
      </c>
      <c r="D12" s="8" t="n">
        <v>16946.79</v>
      </c>
      <c r="E12" s="8" t="n">
        <v>1565.2698</v>
      </c>
      <c r="F12" s="8" t="n">
        <v>4.24</v>
      </c>
      <c r="G12" s="8" t="n">
        <v>92.36</v>
      </c>
      <c r="H12" s="50" t="n"/>
    </row>
    <row r="13" ht="28.5" customHeight="1" s="43">
      <c r="C13" s="52" t="inlineStr">
        <is>
          <t>25/10/25</t>
        </is>
      </c>
      <c r="D13" s="8" t="n">
        <v>23563.11</v>
      </c>
      <c r="E13" s="8" t="n">
        <v>2202.2266</v>
      </c>
      <c r="F13" s="8" t="n">
        <v>5.89</v>
      </c>
      <c r="G13" s="8" t="n">
        <v>93.45999999999999</v>
      </c>
      <c r="H13" s="50" t="n"/>
    </row>
    <row r="14" ht="28.5" customHeight="1" s="43">
      <c r="C14" s="52" t="inlineStr">
        <is>
          <t>26/10/25</t>
        </is>
      </c>
      <c r="D14" s="8" t="n">
        <v>24542.1</v>
      </c>
      <c r="E14" s="8" t="n">
        <v>1708.5435</v>
      </c>
      <c r="F14" s="8" t="n">
        <v>6.14</v>
      </c>
      <c r="G14" s="8" t="n">
        <v>69.62</v>
      </c>
      <c r="H14" s="50" t="n"/>
    </row>
    <row r="15" ht="28.5" customHeight="1" s="43">
      <c r="C15" s="53" t="inlineStr">
        <is>
          <t>Σύνολο Εβδομάδας</t>
        </is>
      </c>
      <c r="D15" s="54" t="n">
        <v>157118.01</v>
      </c>
      <c r="E15" s="54" t="n">
        <v>18432.59</v>
      </c>
      <c r="F15" s="54" t="n">
        <v>39.29</v>
      </c>
      <c r="G15" s="54" t="n">
        <v>117.32</v>
      </c>
      <c r="H15" s="50" t="n"/>
    </row>
    <row r="16" ht="28.5" customHeight="1" s="43">
      <c r="C16" s="52" t="n"/>
      <c r="D16" s="8" t="n"/>
      <c r="E16" s="55" t="n"/>
      <c r="F16" s="56" t="n"/>
      <c r="G16" s="35" t="n"/>
      <c r="H16" s="50" t="n"/>
    </row>
    <row r="17" ht="28.5" customHeight="1" s="43">
      <c r="C17" s="52" t="n"/>
      <c r="D17" s="8" t="n"/>
      <c r="E17" s="55" t="n"/>
      <c r="F17" s="56" t="n"/>
      <c r="G17" s="57" t="n"/>
      <c r="H17" s="50" t="n"/>
    </row>
    <row r="18" ht="28.5" customHeight="1" s="43">
      <c r="C18" s="52" t="n"/>
      <c r="D18" s="8" t="n"/>
      <c r="E18" s="55" t="n"/>
      <c r="F18" s="56" t="n"/>
      <c r="G18" s="57" t="n"/>
      <c r="H18" s="50" t="n"/>
    </row>
    <row r="19" ht="28.5" customHeight="1" s="43">
      <c r="C19" s="52" t="n"/>
      <c r="D19" s="8" t="n"/>
      <c r="E19" s="55" t="n"/>
      <c r="F19" s="56" t="n"/>
      <c r="G19" s="57" t="n"/>
      <c r="H19" s="50" t="n"/>
    </row>
    <row r="20" ht="28.5" customHeight="1" s="43">
      <c r="C20" s="52" t="n"/>
      <c r="D20" s="8" t="n"/>
      <c r="E20" s="55" t="n"/>
      <c r="F20" s="56" t="n"/>
      <c r="G20" s="57" t="n"/>
      <c r="H20" s="50" t="n"/>
    </row>
    <row r="21" ht="28.5" customHeight="1" s="43">
      <c r="C21" s="52" t="n"/>
      <c r="D21" s="8" t="n"/>
      <c r="E21" s="55" t="n"/>
      <c r="F21" s="56" t="n"/>
      <c r="G21" s="57" t="n"/>
      <c r="H21" s="50" t="n"/>
    </row>
    <row r="22" ht="28.5" customHeight="1" s="43">
      <c r="C22" s="52" t="n"/>
      <c r="D22" s="8" t="n"/>
      <c r="E22" s="55" t="n"/>
      <c r="F22" s="56" t="n"/>
      <c r="G22" s="57" t="n"/>
      <c r="H22" s="50" t="n"/>
    </row>
    <row r="23" ht="28.5" customHeight="1" s="43">
      <c r="C23" s="52" t="n"/>
      <c r="D23" s="8" t="n"/>
      <c r="E23" s="55" t="n"/>
      <c r="F23" s="56" t="n"/>
      <c r="G23" s="57" t="n"/>
      <c r="H23" s="50" t="n"/>
    </row>
    <row r="24" ht="28.5" customHeight="1" s="43">
      <c r="C24" s="52" t="n"/>
      <c r="D24" s="8" t="n"/>
      <c r="E24" s="55" t="n"/>
      <c r="F24" s="56" t="n"/>
      <c r="G24" s="57" t="n"/>
      <c r="H24" s="50" t="n"/>
    </row>
    <row r="25" ht="28.5" customHeight="1" s="43">
      <c r="C25" s="52" t="n"/>
      <c r="D25" s="8" t="n"/>
      <c r="E25" s="55" t="n"/>
      <c r="F25" s="56" t="n"/>
      <c r="G25" s="57" t="n"/>
      <c r="H25" s="50" t="n"/>
    </row>
    <row r="26" ht="28.5" customHeight="1" s="43">
      <c r="C26" s="52" t="n"/>
      <c r="D26" s="8" t="n"/>
      <c r="E26" s="55" t="n"/>
      <c r="F26" s="56" t="n"/>
      <c r="G26" s="57" t="n"/>
      <c r="H26" s="50" t="n"/>
    </row>
    <row r="27" ht="28.5" customHeight="1" s="43">
      <c r="C27" s="52" t="n"/>
      <c r="D27" s="8" t="n"/>
      <c r="E27" s="55" t="n"/>
      <c r="F27" s="56" t="n"/>
      <c r="G27" s="57" t="n"/>
      <c r="H27" s="50" t="n"/>
    </row>
    <row r="28" ht="28.5" customHeight="1" s="43">
      <c r="C28" s="52" t="n"/>
      <c r="D28" s="8" t="n"/>
      <c r="E28" s="55" t="n"/>
      <c r="F28" s="56" t="n"/>
      <c r="G28" s="57" t="n"/>
      <c r="H28" s="50" t="n"/>
    </row>
    <row r="29" ht="28.5" customHeight="1" s="43">
      <c r="C29" s="52" t="n"/>
      <c r="D29" s="8" t="n"/>
      <c r="E29" s="55" t="n"/>
      <c r="F29" s="56" t="n"/>
      <c r="G29" s="57" t="n"/>
      <c r="H29" s="50" t="n"/>
    </row>
    <row r="30" ht="28.5" customHeight="1" s="43">
      <c r="C30" s="52" t="n"/>
      <c r="D30" s="8" t="n"/>
      <c r="E30" s="55" t="n"/>
      <c r="F30" s="56" t="n"/>
      <c r="G30" s="57" t="n"/>
      <c r="H30" s="50" t="n"/>
    </row>
    <row r="31" ht="28.5" customHeight="1" s="43">
      <c r="C31" s="52" t="n"/>
      <c r="D31" s="8" t="n"/>
      <c r="E31" s="55" t="n"/>
      <c r="F31" s="56" t="n"/>
      <c r="G31" s="57" t="n"/>
      <c r="H31" s="50" t="n"/>
    </row>
    <row r="32" ht="28.5" customHeight="1" s="43">
      <c r="C32" s="52" t="n"/>
      <c r="D32" s="8" t="n"/>
      <c r="E32" s="55" t="n"/>
      <c r="F32" s="56" t="n"/>
      <c r="G32" s="57" t="n"/>
      <c r="H32" s="50" t="n"/>
    </row>
    <row r="33" ht="28.5" customHeight="1" s="43">
      <c r="C33" s="52" t="n"/>
      <c r="D33" s="8" t="n"/>
      <c r="E33" s="55" t="n"/>
      <c r="F33" s="56" t="n"/>
      <c r="G33" s="57" t="n"/>
      <c r="H33" s="50" t="n"/>
    </row>
    <row r="34" ht="28.5" customHeight="1" s="43">
      <c r="C34" s="52" t="n"/>
      <c r="D34" s="8" t="n"/>
      <c r="E34" s="55" t="n"/>
      <c r="F34" s="56" t="n"/>
      <c r="G34" s="57" t="n"/>
      <c r="H34" s="50" t="n"/>
    </row>
    <row r="35" ht="28.5" customHeight="1" s="43">
      <c r="C35" s="52" t="n"/>
      <c r="D35" s="8" t="n"/>
      <c r="E35" s="55" t="n"/>
      <c r="F35" s="56" t="n"/>
      <c r="G35" s="57" t="n"/>
      <c r="H35" s="50" t="n"/>
    </row>
    <row r="36" ht="28.5" customHeight="1" s="43">
      <c r="C36" s="52" t="n"/>
      <c r="D36" s="8" t="n"/>
      <c r="E36" s="55" t="n"/>
      <c r="F36" s="56" t="n"/>
      <c r="G36" s="57" t="n"/>
      <c r="H36" s="50" t="n"/>
    </row>
    <row r="37" ht="28.5" customHeight="1" s="43">
      <c r="C37" s="52" t="n"/>
      <c r="D37" s="8" t="n"/>
      <c r="E37" s="55" t="n"/>
      <c r="F37" s="56" t="n"/>
      <c r="G37" s="57" t="n"/>
      <c r="H37" s="50" t="n"/>
    </row>
    <row r="38" ht="28.5" customHeight="1" s="43">
      <c r="C38" s="52" t="n"/>
      <c r="D38" s="8" t="n"/>
      <c r="E38" s="55" t="n"/>
      <c r="F38" s="56" t="n"/>
      <c r="G38" s="57" t="n"/>
      <c r="H38" s="50" t="n"/>
    </row>
    <row r="39" ht="28.5" customHeight="1" s="43">
      <c r="C39" s="37" t="n"/>
      <c r="D39" s="8" t="n"/>
      <c r="E39" s="8" t="n"/>
      <c r="F39" s="56" t="n"/>
      <c r="G39" s="57" t="n"/>
      <c r="H39" s="50" t="n"/>
    </row>
    <row r="40" ht="28.75" customHeight="1" s="43"/>
    <row r="41" ht="21.5" customHeight="1" s="43">
      <c r="B41" s="36" t="inlineStr">
        <is>
          <t>Ανάλυση Χρεώσεων και Υπηρεσίων ΦοΣΕ</t>
        </is>
      </c>
      <c r="C41" s="49" t="n"/>
      <c r="D41" s="50" t="n"/>
      <c r="E41" s="12" t="n"/>
      <c r="F41" s="36" t="inlineStr">
        <is>
          <t>Υπολογισμός προς καταβολή</t>
        </is>
      </c>
      <c r="G41" s="49" t="n"/>
      <c r="H41" s="50" t="n"/>
    </row>
    <row r="42" ht="36" customHeight="1" s="43">
      <c r="B42" s="37" t="inlineStr">
        <is>
          <t>Μοναδιαία Χρέωση ΦοΣΕ</t>
        </is>
      </c>
      <c r="C42" s="50" t="n"/>
      <c r="D42" s="58" t="n">
        <v>0.25</v>
      </c>
      <c r="F42" s="37" t="inlineStr">
        <is>
          <t>Παραγωγή Ενέργειας βάσει Μετρήσεων (ΜWh)</t>
        </is>
      </c>
      <c r="G42" s="50" t="n"/>
      <c r="H42" s="59" t="n">
        <v>157.12</v>
      </c>
    </row>
    <row r="43" ht="71.5" customHeight="1" s="43">
      <c r="B43" s="37" t="inlineStr">
        <is>
          <t>Σύνολο</t>
        </is>
      </c>
      <c r="C43" s="50" t="n"/>
      <c r="D43" s="59" t="n">
        <v>39.29</v>
      </c>
      <c r="F43" s="37" t="inlineStr">
        <is>
          <t>Αξία Ενέργειας βάσει Μετρήσεων</t>
        </is>
      </c>
      <c r="G43" s="50" t="n"/>
      <c r="H43" s="59" t="n">
        <v>18432.59</v>
      </c>
    </row>
    <row r="44" ht="30" customHeight="1" s="43">
      <c r="F44" s="37" t="inlineStr">
        <is>
          <t>ΦΠΑ (6%)</t>
        </is>
      </c>
      <c r="G44" s="50" t="n"/>
      <c r="H44" s="60">
        <f>H43*6%</f>
        <v/>
      </c>
    </row>
    <row r="45" ht="29.75" customHeight="1" s="43">
      <c r="F45" s="37" t="inlineStr">
        <is>
          <t>Χρέωση ΦοΣΕ με ΦΠΑ (24%)</t>
        </is>
      </c>
      <c r="G45" s="50" t="n"/>
      <c r="H45" s="60">
        <f>-(D43*1.24)</f>
        <v/>
      </c>
    </row>
    <row r="46" ht="30" customHeight="1" s="43">
      <c r="F46" s="37" t="inlineStr">
        <is>
          <t xml:space="preserve">Συνολικό Ποσό προς καταβολή </t>
        </is>
      </c>
      <c r="G46" s="50" t="n"/>
      <c r="H46" s="61">
        <f>H43+H44+H45</f>
        <v/>
      </c>
    </row>
    <row r="47" ht="21.5" customHeight="1" s="43">
      <c r="B47" s="36" t="inlineStr">
        <is>
          <t>Στοιχεία Τράπεζας</t>
        </is>
      </c>
      <c r="C47" s="49" t="n"/>
      <c r="D47" s="50" t="n"/>
    </row>
    <row r="48" ht="36" customHeight="1" s="43">
      <c r="B48" s="13" t="inlineStr">
        <is>
          <t>ΙΒΑΝ</t>
        </is>
      </c>
      <c r="C48" s="62" t="inlineStr">
        <is>
          <t>GR8601105060000050600510049</t>
        </is>
      </c>
      <c r="D48" s="50" t="n"/>
      <c r="F48" s="36" t="inlineStr">
        <is>
          <t>Υπολογισμός Τιμολόγησης</t>
        </is>
      </c>
      <c r="G48" s="49" t="n"/>
      <c r="H48" s="50" t="n"/>
    </row>
    <row r="49" ht="25.25" customHeight="1" s="43">
      <c r="B49" s="14" t="inlineStr">
        <is>
          <t>Ημερομηνία</t>
        </is>
      </c>
      <c r="C49" s="63" t="inlineStr">
        <is>
          <t>12/11/25</t>
        </is>
      </c>
      <c r="D49" s="50" t="n"/>
      <c r="F49" s="37" t="inlineStr">
        <is>
          <t>Αξία Ενέργειας βάσει Μετρήσεων</t>
        </is>
      </c>
      <c r="G49" s="50" t="n"/>
      <c r="H49" s="60">
        <f>H43</f>
        <v/>
      </c>
    </row>
    <row r="50" ht="28.5" customHeight="1" s="43">
      <c r="F50" s="37" t="inlineStr">
        <is>
          <t>ΦΠΑ (6%)</t>
        </is>
      </c>
      <c r="G50" s="50" t="n"/>
      <c r="H50" s="60">
        <f>H49*6%</f>
        <v/>
      </c>
    </row>
    <row r="51" ht="28.5" customHeight="1" s="43">
      <c r="F51" s="37" t="inlineStr">
        <is>
          <t xml:space="preserve">ΓΕΝΙΚΟ ΣΥΝΟΛΟ </t>
        </is>
      </c>
      <c r="G51" s="50" t="n"/>
      <c r="H51" s="60">
        <f>H49+H50</f>
        <v/>
      </c>
    </row>
    <row r="52" ht="28.75" customHeight="1" s="43"/>
    <row r="53" ht="38.25" customHeight="1" s="43">
      <c r="B53" s="64"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ώρα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4" ht="39" customHeight="1" s="43"/>
    <row r="55" ht="28.75" customHeight="1" s="43"/>
    <row r="57" ht="28.75" customHeight="1" s="43"/>
    <row r="59" ht="36" customHeight="1" s="43"/>
    <row r="60" ht="28.5" customHeight="1" s="43"/>
    <row r="61" ht="28.5" customHeight="1" s="43"/>
    <row r="62" ht="28.5" customHeight="1" s="43"/>
  </sheetData>
  <mergeCells count="56">
    <mergeCell ref="G21:H21"/>
    <mergeCell ref="G12:H12"/>
    <mergeCell ref="G2:H2"/>
    <mergeCell ref="F41:H41"/>
    <mergeCell ref="G11:H11"/>
    <mergeCell ref="G27:H27"/>
    <mergeCell ref="G36:H36"/>
    <mergeCell ref="G23:H23"/>
    <mergeCell ref="G8:H8"/>
    <mergeCell ref="G17:H17"/>
    <mergeCell ref="G39:H39"/>
    <mergeCell ref="B43:C43"/>
    <mergeCell ref="G38:H38"/>
    <mergeCell ref="I7:M7"/>
    <mergeCell ref="G7:H7"/>
    <mergeCell ref="G10:H10"/>
    <mergeCell ref="F51:G51"/>
    <mergeCell ref="B42:C42"/>
    <mergeCell ref="G19:H19"/>
    <mergeCell ref="F45:G45"/>
    <mergeCell ref="G37:H37"/>
    <mergeCell ref="F42:G42"/>
    <mergeCell ref="G28:H28"/>
    <mergeCell ref="F50:G50"/>
    <mergeCell ref="F48:H48"/>
    <mergeCell ref="G18:H18"/>
    <mergeCell ref="G13:H13"/>
    <mergeCell ref="B53:H54"/>
    <mergeCell ref="G34:H34"/>
    <mergeCell ref="D5:F5"/>
    <mergeCell ref="G30:H30"/>
    <mergeCell ref="G24:H24"/>
    <mergeCell ref="B41:D41"/>
    <mergeCell ref="G15:H15"/>
    <mergeCell ref="G33:H33"/>
    <mergeCell ref="G5:H5"/>
    <mergeCell ref="F46:G46"/>
    <mergeCell ref="G14:H14"/>
    <mergeCell ref="C48:D48"/>
    <mergeCell ref="B47:D47"/>
    <mergeCell ref="G26:H26"/>
    <mergeCell ref="F43:G43"/>
    <mergeCell ref="G35:H35"/>
    <mergeCell ref="G29:H29"/>
    <mergeCell ref="G20:H20"/>
    <mergeCell ref="G4:H4"/>
    <mergeCell ref="G16:H16"/>
    <mergeCell ref="G32:H32"/>
    <mergeCell ref="G25:H25"/>
    <mergeCell ref="F49:G49"/>
    <mergeCell ref="G31:H31"/>
    <mergeCell ref="F44:G44"/>
    <mergeCell ref="G22:H22"/>
    <mergeCell ref="G9:H9"/>
    <mergeCell ref="C49:D49"/>
    <mergeCell ref="C1:H1"/>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2025-11-07T19:53:44Z</dcterms:modified>
  <cp:lastModifiedBy>greenvalue05@hotmail.com</cp:lastModifiedBy>
  <cp:lastPrinted>2025-05-05T11:50:33Z</cp:lastPrinted>
</cp:coreProperties>
</file>