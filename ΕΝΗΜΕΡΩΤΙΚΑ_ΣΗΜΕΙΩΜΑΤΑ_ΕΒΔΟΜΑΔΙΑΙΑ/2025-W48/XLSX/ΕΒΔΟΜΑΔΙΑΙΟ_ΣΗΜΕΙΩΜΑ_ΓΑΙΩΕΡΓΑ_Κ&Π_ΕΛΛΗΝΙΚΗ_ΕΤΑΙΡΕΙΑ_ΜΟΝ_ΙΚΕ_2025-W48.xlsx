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48/XLSX/"/>
    </mc:Choice>
  </mc:AlternateContent>
  <xr:revisionPtr revIDLastSave="0" documentId="13_ncr:1_{92E33392-CF10-A547-B6DD-BA67133258DD}" xr6:coauthVersionLast="47" xr6:coauthVersionMax="47" xr10:uidLastSave="{00000000-0000-0000-0000-000000000000}"/>
  <bookViews>
    <workbookView xWindow="0" yWindow="760" windowWidth="13460" windowHeight="17040" xr2:uid="{00000000-000D-0000-FFFF-FFFF00000000}"/>
  </bookViews>
  <sheets>
    <sheet name="Energy Production" sheetId="1" r:id="rId1"/>
    <sheet name="Sheet1" sheetId="2" r:id="rId2"/>
  </sheets>
  <definedNames>
    <definedName name="_xlnm.Print_Area" localSheetId="0">'Energy Production'!$A$1:$H$54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7" i="2" l="1"/>
  <c r="E97" i="2"/>
  <c r="F97"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1" i="2"/>
  <c r="B97" i="2"/>
  <c r="C97" i="2"/>
  <c r="A97"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1" i="2"/>
  <c r="G15" i="1"/>
  <c r="F15" i="1"/>
  <c r="D19" i="1" s="1"/>
  <c r="H21" i="1" s="1"/>
  <c r="E15" i="1"/>
  <c r="H19" i="1" s="1"/>
  <c r="H25" i="1" s="1"/>
  <c r="D15" i="1"/>
  <c r="H26" i="1" l="1"/>
  <c r="H27" i="1" s="1"/>
  <c r="G5" i="1" s="1"/>
  <c r="H20" i="1"/>
  <c r="H22" i="1" s="1"/>
</calcChain>
</file>

<file path=xl/sharedStrings.xml><?xml version="1.0" encoding="utf-8"?>
<sst xmlns="http://schemas.openxmlformats.org/spreadsheetml/2006/main" count="55" uniqueCount="51">
  <si>
    <t>Φορέας Σωρευτικής Εκπροσώπησης ΑΠΕ (Φο.Σ.Ε.)
Διεύθυνση: Φιλοπάππου 19, Αθήνα 11741, Ελλάδα 
ΑΦΜ: 801961185 ,  ΓΕΜΗ: 167104201000           ΔΟΥ:ΦΑΕ Αθηνών , Email: info@greenvalue.gr</t>
  </si>
  <si>
    <t>522SH70445</t>
  </si>
  <si>
    <t>ΓΑΙΩΕΡΓΑ Κ&amp;Π ΕΛΛΗΝΙΚΗ ΕΤΑΙΡΕΙΑ ΜΟΝ ΙΚΕ</t>
  </si>
  <si>
    <t>ΒΟΛΟΥ</t>
  </si>
  <si>
    <t>ΘΕΣΗ ΝΤΕΚΕΜΠΑΣΙ, ΚΡΟΚΙΟ ΑΛΜΥΡΟΥ, Τ.Κ. 37100</t>
  </si>
  <si>
    <t>info@gaioerga.gr</t>
  </si>
  <si>
    <t>ΣΗΘΥΑ</t>
  </si>
  <si>
    <t>Ημερομηνία</t>
  </si>
  <si>
    <t>Έκδοση</t>
  </si>
  <si>
    <t>ΣΥΝΟΛΟ ΜΕ ΦΠΑ</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</si>
  <si>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</si>
  <si>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</si>
  <si>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</si>
  <si>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</si>
  <si>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</si>
  <si>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ΦΠΑ (6%)</t>
  </si>
  <si>
    <t>Χρέωση ΦοΣΕ με ΦΠΑ (24%)</t>
  </si>
  <si>
    <t xml:space="preserve">Συνολικό Ποσό προς καταβολή </t>
  </si>
  <si>
    <t>Στοιχεία Τράπεζας</t>
  </si>
  <si>
    <t>Υπολογισμός Τιμολόγησης</t>
  </si>
  <si>
    <t>Αξία Ενέργειας βάσει Μετρήσεων</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</si>
  <si>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</si>
  <si>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</si>
  <si>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Α.Μ. ΑΠΕ</t>
  </si>
  <si>
    <t>Εταιρεία</t>
  </si>
  <si>
    <t>ΑΦΜ</t>
  </si>
  <si>
    <t>ΔΟΥ</t>
  </si>
  <si>
    <t>Διεύθυνση</t>
  </si>
  <si>
    <t>Email</t>
  </si>
  <si>
    <t>Τεχνολογία</t>
  </si>
  <si>
    <t xml:space="preserve">Περίοδος Εκκαθάρισης </t>
  </si>
  <si>
    <t>Αρχική</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</si>
  <si>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</si>
  <si>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</si>
  <si>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</si>
  <si>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</si>
  <si>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</si>
  <si>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t>
  </si>
  <si>
    <t>ΙΒΑΝ</t>
  </si>
  <si>
    <t>Ανάλυση Εβδομαδιαίας Εκκαθάρισης Παραγωγής Ενέργειας Σταθμού</t>
  </si>
  <si>
    <t>GR5501105060000050600510122</t>
  </si>
  <si>
    <t>Ενημερωτικό Σημείωμα Εβδομάδας 24/11/25–30/11/25</t>
  </si>
  <si>
    <t>09/12/2025</t>
  </si>
  <si>
    <t>24/11/25-30/11/25</t>
  </si>
  <si>
    <t>24/11/25</t>
  </si>
  <si>
    <t>25/11/25</t>
  </si>
  <si>
    <t>26/11/25</t>
  </si>
  <si>
    <t>27/11/25</t>
  </si>
  <si>
    <t>28/11/25</t>
  </si>
  <si>
    <t>29/11/25</t>
  </si>
  <si>
    <t>30/11/25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</si>
</sst>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0.00\ &quot;€&quot;"/>
    <numFmt numFmtId="166" formatCode="[$€-2]\ #,##0.00"/>
    <numFmt numFmtId="167" formatCode="#.##&quot; &quot;[$€-2]&quot;/MWh&quot;"/>
  </numFmts>
  <fonts count="22">
    <font>
      <sz val="10"/>
      <color indexed="8"/>
      <name val="Avenir Next Regular"/>
    </font>
    <font>
      <sz val="15"/>
      <color indexed="8"/>
      <name val="Century Gothic"/>
      <family val="1"/>
    </font>
    <font>
      <b/>
      <sz val="16"/>
      <name val="Avenir Next Regular"/>
    </font>
    <font>
      <sz val="10"/>
      <name val="Avenir Next Regular"/>
    </font>
    <font>
      <b/>
      <sz val="15"/>
      <name val="Avenir Next Regular"/>
    </font>
    <font>
      <b/>
      <sz val="14"/>
      <name val="Avenir Next Regular"/>
    </font>
    <font>
      <sz val="9"/>
      <color indexed="8"/>
      <name val="Avenir Next Regular"/>
    </font>
    <font>
      <i/>
      <sz val="12"/>
      <name val="Avenir Next Regular"/>
    </font>
    <font>
      <b/>
      <sz val="16"/>
      <name val="Arial"/>
      <family val="2"/>
      <charset val="161"/>
    </font>
    <font>
      <sz val="15"/>
      <color indexed="10"/>
      <name val="Avenir Next Regular"/>
    </font>
    <font>
      <sz val="14"/>
      <color indexed="10"/>
      <name val="Avenir Next Regular"/>
    </font>
    <font>
      <sz val="12"/>
      <color indexed="10"/>
      <name val="Avenir Next Regular"/>
    </font>
    <font>
      <b/>
      <sz val="15"/>
      <color indexed="10"/>
      <name val="Avenir Next Regular"/>
    </font>
    <font>
      <b/>
      <sz val="18"/>
      <color indexed="8"/>
      <name val="Avenir Next Regular"/>
    </font>
    <font>
      <b/>
      <sz val="16"/>
      <color indexed="8"/>
      <name val="Avenir Next Regular"/>
    </font>
    <font>
      <b/>
      <sz val="9"/>
      <color indexed="8"/>
      <name val="Avenir Next Regular"/>
      <charset val="161"/>
    </font>
    <font>
      <b/>
      <sz val="9"/>
      <name val="Avenir Next Demi Bold"/>
      <family val="2"/>
    </font>
    <font>
      <sz val="15"/>
      <color indexed="8"/>
      <name val="Avenir Next Regular"/>
    </font>
    <font>
      <b/>
      <sz val="15"/>
      <color indexed="8"/>
      <name val="Avenir Next Regular"/>
    </font>
    <font>
      <sz val="16"/>
      <color indexed="8"/>
      <name val="Avenir Next Regular"/>
    </font>
    <font>
      <sz val="14"/>
      <color indexed="8"/>
      <name val="Avenir Next Regular"/>
    </font>
    <font>
      <sz val="10"/>
      <color rgb="FF000000"/>
      <name val="Helvetica Neue"/>
      <family val="2"/>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1">
      <alignment vertical="top" wrapText="1"/>
    </xf>
  </cellStyleXfs>
  <cellXfs count="56">
    <xf numFmtId="0" fontId="0" fillId="0" borderId="0" xfId="0" applyBorder="1">
      <alignment vertical="top" wrapText="1"/>
    </xf>
    <xf numFmtId="4" fontId="1" fillId="2" borderId="2" xfId="0" applyNumberFormat="1" applyFont="1" applyFill="1" applyBorder="1" applyAlignment="1">
      <alignment horizontal="center" vertical="center" wrapText="1"/>
    </xf>
    <xf numFmtId="0" fontId="6" fillId="0" borderId="1" xfId="0" applyFont="1">
      <alignment vertical="top" wrapText="1"/>
    </xf>
    <xf numFmtId="49" fontId="0" fillId="0" borderId="1" xfId="0" applyNumberFormat="1">
      <alignment vertical="top" wrapText="1"/>
    </xf>
    <xf numFmtId="49" fontId="3" fillId="0" borderId="1" xfId="0" applyNumberFormat="1" applyFont="1">
      <alignment vertical="top" wrapText="1"/>
    </xf>
    <xf numFmtId="0" fontId="0" fillId="0" borderId="1" xfId="0">
      <alignment vertical="top" wrapText="1"/>
    </xf>
    <xf numFmtId="49" fontId="8" fillId="0" borderId="1" xfId="0" applyNumberFormat="1" applyFont="1" applyAlignment="1">
      <alignment horizontal="center" vertical="top" wrapText="1" readingOrder="1"/>
    </xf>
    <xf numFmtId="0" fontId="9" fillId="0" borderId="2" xfId="0" applyFont="1" applyBorder="1" applyAlignment="1">
      <alignment horizontal="center" vertical="center" wrapText="1" readingOrder="1"/>
    </xf>
    <xf numFmtId="49" fontId="9" fillId="0" borderId="2" xfId="0" applyNumberFormat="1" applyFont="1" applyBorder="1" applyAlignment="1">
      <alignment horizontal="center" vertical="center" wrapText="1" readingOrder="1"/>
    </xf>
    <xf numFmtId="49" fontId="11" fillId="0" borderId="2" xfId="0" applyNumberFormat="1" applyFont="1" applyBorder="1" applyAlignment="1">
      <alignment horizontal="center" vertical="center" wrapText="1" readingOrder="1"/>
    </xf>
    <xf numFmtId="0" fontId="6" fillId="0" borderId="1" xfId="0" applyFont="1" applyAlignment="1">
      <alignment horizontal="center" vertical="center" wrapText="1"/>
    </xf>
    <xf numFmtId="0" fontId="0" fillId="0" borderId="1" xfId="0" applyAlignment="1">
      <alignment horizontal="center" vertical="center" wrapText="1"/>
    </xf>
    <xf numFmtId="49" fontId="8" fillId="0" borderId="1" xfId="0" applyNumberFormat="1" applyFont="1" applyAlignment="1">
      <alignment horizontal="center" vertical="center" wrapText="1" readingOrder="1"/>
    </xf>
    <xf numFmtId="0" fontId="13" fillId="0" borderId="1" xfId="0" applyFont="1" applyAlignment="1">
      <alignment vertical="center"/>
    </xf>
    <xf numFmtId="0" fontId="15" fillId="0" borderId="1" xfId="0" applyFont="1" applyAlignment="1">
      <alignment horizontal="center" vertical="center" wrapText="1"/>
    </xf>
    <xf numFmtId="0" fontId="14" fillId="0" borderId="1" xfId="0" applyFont="1" applyAlignment="1">
      <alignment vertical="center"/>
    </xf>
    <xf numFmtId="167" fontId="17" fillId="0" borderId="2" xfId="0" applyNumberFormat="1" applyFont="1" applyBorder="1" applyAlignment="1">
      <alignment vertical="center" wrapText="1"/>
    </xf>
    <xf numFmtId="4" fontId="17" fillId="0" borderId="2" xfId="0" applyNumberFormat="1" applyFont="1" applyBorder="1" applyAlignment="1">
      <alignment vertical="center" wrapText="1"/>
    </xf>
    <xf numFmtId="166" fontId="17" fillId="0" borderId="2" xfId="0" applyNumberFormat="1" applyFont="1" applyBorder="1" applyAlignment="1">
      <alignment vertical="center" wrapText="1"/>
    </xf>
    <xf numFmtId="166" fontId="18" fillId="0" borderId="2" xfId="0" applyNumberFormat="1" applyFont="1" applyBorder="1" applyAlignment="1">
      <alignment vertical="center" wrapText="1"/>
    </xf>
    <xf numFmtId="49" fontId="17" fillId="0" borderId="2" xfId="0" applyNumberFormat="1" applyFont="1" applyBorder="1" applyAlignment="1">
      <alignment vertical="center" wrapText="1"/>
    </xf>
    <xf numFmtId="49" fontId="19" fillId="0" borderId="2" xfId="0" applyNumberFormat="1" applyFont="1" applyBorder="1">
      <alignment vertical="top" wrapText="1"/>
    </xf>
    <xf numFmtId="164" fontId="1" fillId="2" borderId="6" xfId="0" applyNumberFormat="1" applyFont="1" applyFill="1" applyBorder="1" applyAlignment="1">
      <alignment horizontal="center" vertical="center" wrapText="1"/>
    </xf>
    <xf numFmtId="49" fontId="16" fillId="0" borderId="9" xfId="0" applyNumberFormat="1" applyFont="1" applyBorder="1" applyAlignment="1">
      <alignment horizontal="center" vertical="center" wrapText="1"/>
    </xf>
    <xf numFmtId="49" fontId="16" fillId="0" borderId="10" xfId="0" applyNumberFormat="1" applyFont="1" applyBorder="1" applyAlignment="1">
      <alignment horizontal="center" vertical="center" wrapText="1"/>
    </xf>
    <xf numFmtId="49" fontId="4" fillId="0" borderId="12" xfId="0" applyNumberFormat="1" applyFont="1" applyBorder="1" applyAlignment="1">
      <alignment horizontal="center" vertical="center" wrapText="1"/>
    </xf>
    <xf numFmtId="4" fontId="4" fillId="0" borderId="13" xfId="0" applyNumberFormat="1" applyFont="1" applyBorder="1" applyAlignment="1">
      <alignment horizontal="center" vertical="center" wrapText="1"/>
    </xf>
    <xf numFmtId="49" fontId="10" fillId="0" borderId="2" xfId="0" applyNumberFormat="1" applyFont="1" applyBorder="1" applyAlignment="1">
      <alignment horizontal="center" vertical="center" wrapText="1" readingOrder="1"/>
    </xf>
    <xf numFmtId="0" fontId="21" fillId="0" borderId="0" xfId="0" applyFont="1" applyBorder="1">
      <alignment vertical="top" wrapText="1"/>
    </xf>
    <xf numFmtId="0" fontId="20" fillId="0" borderId="1" xfId="0" applyFont="1" applyAlignment="1">
      <alignment horizontal="left" vertical="top" wrapText="1"/>
    </xf>
    <xf numFmtId="0" fontId="0" fillId="0" borderId="1" xfId="0">
      <alignment vertical="top" wrapText="1"/>
    </xf>
    <xf numFmtId="0" fontId="14" fillId="0" borderId="2" xfId="0" applyFont="1" applyBorder="1" applyAlignment="1">
      <alignment horizontal="center" vertical="center"/>
    </xf>
    <xf numFmtId="0" fontId="0" fillId="0" borderId="5" xfId="0" applyBorder="1" applyAlignment="1"/>
    <xf numFmtId="0" fontId="0" fillId="0" borderId="4" xfId="0" applyBorder="1" applyAlignment="1"/>
    <xf numFmtId="49" fontId="5" fillId="0" borderId="2" xfId="0" applyNumberFormat="1" applyFont="1" applyBorder="1" applyAlignment="1">
      <alignment horizontal="center" vertical="center" wrapText="1"/>
    </xf>
    <xf numFmtId="49" fontId="19" fillId="0" borderId="2" xfId="0" applyNumberFormat="1" applyFont="1" applyBorder="1" applyAlignment="1">
      <alignment horizontal="center" vertical="center" wrapText="1"/>
    </xf>
    <xf numFmtId="49" fontId="0" fillId="0" borderId="4" xfId="0" applyNumberFormat="1" applyBorder="1" applyAlignment="1"/>
    <xf numFmtId="49" fontId="17" fillId="0" borderId="2" xfId="0" applyNumberFormat="1" applyFont="1" applyBorder="1" applyAlignment="1">
      <alignment horizontal="center" vertical="center" wrapText="1"/>
    </xf>
    <xf numFmtId="0" fontId="15" fillId="0" borderId="1" xfId="0" applyFont="1" applyAlignment="1">
      <alignment horizontal="center" vertical="center"/>
    </xf>
    <xf numFmtId="0" fontId="15" fillId="0" borderId="1" xfId="0" applyFont="1" applyAlignment="1">
      <alignment horizontal="center" vertical="center" wrapText="1"/>
    </xf>
    <xf numFmtId="4" fontId="1" fillId="2" borderId="3" xfId="0" applyNumberFormat="1" applyFont="1" applyFill="1" applyBorder="1" applyAlignment="1">
      <alignment horizontal="center" vertical="center"/>
    </xf>
    <xf numFmtId="4" fontId="1" fillId="2" borderId="7" xfId="0" applyNumberFormat="1" applyFont="1" applyFill="1" applyBorder="1" applyAlignment="1">
      <alignment horizontal="center" vertical="center"/>
    </xf>
    <xf numFmtId="4" fontId="4" fillId="0" borderId="13" xfId="0" applyNumberFormat="1" applyFont="1" applyBorder="1" applyAlignment="1">
      <alignment horizontal="center" vertical="center" wrapText="1"/>
    </xf>
    <xf numFmtId="0" fontId="0" fillId="0" borderId="14" xfId="0" applyBorder="1" applyAlignment="1"/>
    <xf numFmtId="0" fontId="2" fillId="0" borderId="1" xfId="0" applyFont="1" applyAlignment="1">
      <alignment horizontal="center" vertical="center" wrapText="1"/>
    </xf>
    <xf numFmtId="49" fontId="7" fillId="0" borderId="1" xfId="0" applyNumberFormat="1" applyFont="1" applyAlignment="1">
      <alignment horizontal="right" vertical="top" wrapText="1"/>
    </xf>
    <xf numFmtId="49" fontId="3" fillId="0" borderId="1" xfId="0" applyNumberFormat="1" applyFont="1" applyAlignment="1">
      <alignment horizontal="right" vertical="top" wrapText="1"/>
    </xf>
    <xf numFmtId="49" fontId="8" fillId="0" borderId="5" xfId="0" applyNumberFormat="1" applyFont="1" applyBorder="1" applyAlignment="1">
      <alignment horizontal="center" vertical="center" wrapText="1" readingOrder="1"/>
    </xf>
    <xf numFmtId="49" fontId="8" fillId="0" borderId="1" xfId="0" applyNumberFormat="1" applyFont="1" applyAlignment="1">
      <alignment horizontal="center" vertical="center" wrapText="1" readingOrder="1"/>
    </xf>
    <xf numFmtId="49" fontId="16" fillId="0" borderId="10" xfId="0" applyNumberFormat="1" applyFont="1" applyBorder="1" applyAlignment="1">
      <alignment horizontal="center" vertical="center" wrapText="1"/>
    </xf>
    <xf numFmtId="0" fontId="0" fillId="0" borderId="11" xfId="0" applyBorder="1" applyAlignment="1"/>
    <xf numFmtId="164" fontId="12" fillId="0" borderId="2" xfId="0" applyNumberFormat="1" applyFont="1" applyBorder="1" applyAlignment="1">
      <alignment horizontal="center" vertical="center"/>
    </xf>
    <xf numFmtId="0" fontId="0" fillId="0" borderId="5" xfId="0" applyBorder="1" applyAlignment="1">
      <alignment vertical="center"/>
    </xf>
    <xf numFmtId="0" fontId="0" fillId="0" borderId="4" xfId="0" applyBorder="1" applyAlignment="1">
      <alignment vertical="center"/>
    </xf>
    <xf numFmtId="165" fontId="12" fillId="0" borderId="2" xfId="0" applyNumberFormat="1" applyFont="1" applyBorder="1" applyAlignment="1">
      <alignment horizontal="center" vertical="center" wrapText="1" readingOrder="1"/>
    </xf>
    <xf numFmtId="0" fontId="14" fillId="0" borderId="8" xfId="0" applyFont="1" applyBorder="1" applyAlignment="1">
      <alignment horizontal="center" vertical="center"/>
    </xf>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10701</xdr:colOff>
      <xdr:row>0</xdr:row>
      <xdr:rowOff>151583</xdr:rowOff>
    </xdr:from>
    <xdr:to>
      <xdr:col>2</xdr:col>
      <xdr:colOff>1469571</xdr:colOff>
      <xdr:row>0</xdr:row>
      <xdr:rowOff>1426036</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5130" y="151583"/>
          <a:ext cx="2887620" cy="1274453"/>
        </a:xfrm>
        <a:prstGeom prst="rect">
          <a:avLst/>
        </a:prstGeom>
        <a:ln w="12700" cap="flat">
          <a:noFill/>
          <a:prstDash val="solid"/>
          <a:miter lim="400000"/>
        </a:ln>
      </xdr:spPr>
    </xdr:pic>
    <xdr:clientData/>
  </xdr:twoCellAnchor>
  <xdr:twoCellAnchor>
    <xdr:from>
      <xdr:col>1</xdr:col>
      <xdr:colOff>10700</xdr:colOff>
      <xdr:row>0</xdr:row>
      <xdr:rowOff>133440</xdr:rowOff>
    </xdr:from>
    <xdr:to>
      <xdr:col>2</xdr:col>
      <xdr:colOff>1469570</xdr:colOff>
      <xdr:row>0</xdr:row>
      <xdr:rowOff>1407893</xdr:rowOff>
    </xdr:to>
    <xdr:pic>
      <xdr:nvPicPr>
        <xdr:cNvPr id="2" name="LOGO.png" descr="LOGO.png">
          <a:extLst>
            <a:ext uri="{FF2B5EF4-FFF2-40B4-BE49-F238E27FC236}">
              <a16:creationId xmlns:a16="http://schemas.microsoft.com/office/drawing/2014/main" id="{BBF2E972-9515-CB4D-848A-F5F0B7E66F0F}"/>
            </a:ext>
          </a:extLst>
        </xdr:cNvPr>
        <xdr:cNvPicPr>
          <a:picLocks noChangeAspect="1"/>
        </xdr:cNvPicPr>
      </xdr:nvPicPr>
      <xdr:blipFill>
        <a:blip xmlns:r="http://schemas.openxmlformats.org/officeDocument/2006/relationships" r:embed="rId1"/>
        <a:stretch>
          <a:fillRect/>
        </a:stretch>
      </xdr:blipFill>
      <xdr:spPr>
        <a:xfrm>
          <a:off x="74200" y="133440"/>
          <a:ext cx="2830470"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topLeftCell="B1" zoomScale="70" zoomScaleNormal="70" workbookViewId="0">
      <selection activeCell="C25" sqref="C25:D25"/>
    </sheetView>
  </sheetViews>
  <sheetFormatPr baseColWidth="10" defaultColWidth="41.6640625" defaultRowHeight="21.5" customHeight="1"/>
  <cols>
    <col min="1" max="1" width="0.83203125" style="5" customWidth="1"/>
    <col min="2" max="2" width="18" style="5" customWidth="1"/>
    <col min="3" max="3" width="23.6640625" style="3" customWidth="1"/>
    <col min="4" max="4" width="19.83203125" style="5" customWidth="1"/>
    <col min="5" max="5" width="14.83203125" style="5" customWidth="1"/>
    <col min="6" max="6" width="21.6640625" style="5" customWidth="1"/>
    <col min="7" max="7" width="31.83203125" style="5" customWidth="1"/>
    <col min="8" max="8" width="20.33203125" style="5" customWidth="1"/>
    <col min="9" max="9" width="19.6640625" style="2" customWidth="1"/>
    <col min="10" max="10" width="32.6640625" style="2" customWidth="1"/>
    <col min="11" max="11" width="29" style="2" customWidth="1"/>
    <col min="12" max="12" width="27.33203125" style="2" customWidth="1"/>
    <col min="13" max="13" width="36.83203125" style="2" customWidth="1"/>
    <col min="14" max="14" width="41.5" style="5" customWidth="1"/>
    <col min="15" max="15" width="21.5" style="5" customWidth="1"/>
    <col min="16" max="16" width="44.83203125" style="5" customWidth="1"/>
    <col min="17" max="17" width="31" style="5" customWidth="1"/>
    <col min="18" max="18" width="20.1640625" style="5" customWidth="1"/>
    <col min="19" max="19" width="55.6640625" style="5" customWidth="1"/>
    <col min="20" max="20" width="44.83203125" style="5" customWidth="1"/>
    <col min="21" max="21" width="31" style="5" customWidth="1"/>
    <col min="22" max="22" width="44.83203125" style="5" customWidth="1"/>
    <col min="23" max="23" width="31" style="5" customWidth="1"/>
    <col min="24" max="25" width="41.6640625" style="5" customWidth="1"/>
    <col min="26" max="16384" width="41.6640625" style="5"/>
  </cols>
  <sheetData>
    <row r="1" spans="2:13" ht="126" customHeight="1">
      <c r="B1" s="2"/>
      <c r="D1" s="44" t="s">
        <v>41</v>
      </c>
      <c r="E1" s="44"/>
      <c r="F1" s="44"/>
      <c r="G1" s="45" t="s">
        <v>0</v>
      </c>
      <c r="H1" s="46"/>
      <c r="I1" s="4"/>
    </row>
    <row r="2" spans="2:13" ht="26" customHeight="1">
      <c r="B2" s="6" t="s">
        <v>23</v>
      </c>
      <c r="C2" s="6" t="s">
        <v>24</v>
      </c>
      <c r="D2" s="6" t="s">
        <v>25</v>
      </c>
      <c r="E2" s="6" t="s">
        <v>26</v>
      </c>
      <c r="F2" s="6" t="s">
        <v>27</v>
      </c>
      <c r="G2" s="6" t="s">
        <v>28</v>
      </c>
      <c r="H2" s="6" t="s">
        <v>29</v>
      </c>
    </row>
    <row r="3" spans="2:13" s="11" customFormat="1" ht="60" customHeight="1">
      <c r="B3" s="7" t="s">
        <v>1</v>
      </c>
      <c r="C3" s="27" t="s">
        <v>2</v>
      </c>
      <c r="D3" s="7">
        <v>801420370</v>
      </c>
      <c r="E3" s="8" t="s">
        <v>3</v>
      </c>
      <c r="F3" s="9" t="s">
        <v>4</v>
      </c>
      <c r="G3" s="8" t="s">
        <v>5</v>
      </c>
      <c r="H3" s="8" t="s">
        <v>6</v>
      </c>
      <c r="I3" s="10"/>
      <c r="J3" s="10"/>
      <c r="K3" s="10"/>
      <c r="L3" s="10"/>
      <c r="M3" s="10"/>
    </row>
    <row r="4" spans="2:13" ht="39" customHeight="1">
      <c r="B4" s="12" t="s">
        <v>7</v>
      </c>
      <c r="C4" s="12" t="s">
        <v>8</v>
      </c>
      <c r="D4" s="47" t="s">
        <v>30</v>
      </c>
      <c r="E4" s="47"/>
      <c r="F4" s="47"/>
      <c r="G4" s="48" t="s">
        <v>9</v>
      </c>
      <c r="H4" s="30"/>
    </row>
    <row r="5" spans="2:13" s="11" customFormat="1" ht="37" customHeight="1">
      <c r="B5" s="8" t="s">
        <v>42</v>
      </c>
      <c r="C5" s="8" t="s">
        <v>31</v>
      </c>
      <c r="D5" s="51" t="s">
        <v>43</v>
      </c>
      <c r="E5" s="52"/>
      <c r="F5" s="53"/>
      <c r="G5" s="54">
        <f>H27</f>
        <v>17047.853252514</v>
      </c>
      <c r="H5" s="33"/>
      <c r="I5" s="10"/>
      <c r="J5" s="10"/>
      <c r="K5" s="10"/>
      <c r="L5" s="10"/>
      <c r="M5" s="10"/>
    </row>
    <row r="6" spans="2:13" ht="43.25" customHeight="1" thickBot="1">
      <c r="B6" s="13"/>
      <c r="C6" s="55" t="s">
        <v>39</v>
      </c>
      <c r="D6" s="55"/>
      <c r="E6" s="55"/>
      <c r="F6" s="55"/>
      <c r="G6" s="55"/>
      <c r="H6" s="55"/>
    </row>
    <row r="7" spans="2:13" s="14" customFormat="1" ht="53" customHeight="1">
      <c r="C7" s="23" t="s">
        <v>32</v>
      </c>
      <c r="D7" s="24" t="s">
        <v>33</v>
      </c>
      <c r="E7" s="24" t="s">
        <v>34</v>
      </c>
      <c r="F7" s="24" t="s">
        <v>35</v>
      </c>
      <c r="G7" s="49" t="s">
        <v>36</v>
      </c>
      <c r="H7" s="50"/>
      <c r="I7" s="38"/>
      <c r="J7" s="39"/>
      <c r="K7" s="39"/>
      <c r="L7" s="39"/>
      <c r="M7" s="39"/>
    </row>
    <row r="8" spans="2:13" ht="31.75" customHeight="1">
      <c r="C8" s="22" t="s">
        <v>44</v>
      </c>
      <c r="D8" s="1">
        <v>17516.25</v>
      </c>
      <c r="E8" s="1">
        <v>2157.4213401000002</v>
      </c>
      <c r="F8" s="1">
        <v>4.38</v>
      </c>
      <c r="G8" s="40">
        <v>123.17</v>
      </c>
      <c r="H8" s="41"/>
    </row>
    <row r="9" spans="2:13" ht="30" customHeight="1">
      <c r="C9" s="22" t="s">
        <v>45</v>
      </c>
      <c r="D9" s="1">
        <v>21917.64</v>
      </c>
      <c r="E9" s="1">
        <v>2474.9264690999998</v>
      </c>
      <c r="F9" s="1">
        <v>5.48</v>
      </c>
      <c r="G9" s="40">
        <v>112.92</v>
      </c>
      <c r="H9" s="41"/>
    </row>
    <row r="10" spans="2:13" ht="28.5" customHeight="1">
      <c r="C10" s="22" t="s">
        <v>46</v>
      </c>
      <c r="D10" s="1">
        <v>19683.3</v>
      </c>
      <c r="E10" s="1">
        <v>1871.1118472999999</v>
      </c>
      <c r="F10" s="1">
        <v>4.92</v>
      </c>
      <c r="G10" s="40">
        <v>95.06</v>
      </c>
      <c r="H10" s="41"/>
    </row>
    <row r="11" spans="2:13" ht="28.5" customHeight="1">
      <c r="C11" s="22" t="s">
        <v>47</v>
      </c>
      <c r="D11" s="1">
        <v>23369.37</v>
      </c>
      <c r="E11" s="1">
        <v>2373.7197035999998</v>
      </c>
      <c r="F11" s="1">
        <v>5.84</v>
      </c>
      <c r="G11" s="40">
        <v>101.57</v>
      </c>
      <c r="H11" s="41"/>
    </row>
    <row r="12" spans="2:13" ht="28.5" customHeight="1">
      <c r="C12" s="22" t="s">
        <v>48</v>
      </c>
      <c r="D12" s="1">
        <v>23377.8</v>
      </c>
      <c r="E12" s="1">
        <v>2393.3548151999998</v>
      </c>
      <c r="F12" s="1">
        <v>5.84</v>
      </c>
      <c r="G12" s="40">
        <v>102.38</v>
      </c>
      <c r="H12" s="41"/>
    </row>
    <row r="13" spans="2:13" ht="28.5" customHeight="1">
      <c r="C13" s="22" t="s">
        <v>49</v>
      </c>
      <c r="D13" s="1">
        <v>23372.94</v>
      </c>
      <c r="E13" s="1">
        <v>2583.2511509999999</v>
      </c>
      <c r="F13" s="1">
        <v>5.84</v>
      </c>
      <c r="G13" s="40">
        <v>110.52</v>
      </c>
      <c r="H13" s="41"/>
    </row>
    <row r="14" spans="2:13" ht="28.5" customHeight="1">
      <c r="C14" s="22" t="s">
        <v>50</v>
      </c>
      <c r="D14" s="1">
        <v>23130.3</v>
      </c>
      <c r="E14" s="1">
        <v>2229.0951006</v>
      </c>
      <c r="F14" s="1">
        <v>5.78</v>
      </c>
      <c r="G14" s="40">
        <v>96.37</v>
      </c>
      <c r="H14" s="41"/>
    </row>
    <row r="15" spans="2:13" ht="57" customHeight="1" thickBot="1">
      <c r="C15" s="25" t="s">
        <v>10</v>
      </c>
      <c r="D15" s="26">
        <f>SUM(D8:D14)</f>
        <v>152367.6</v>
      </c>
      <c r="E15" s="26">
        <f>SUM(E8:E14)</f>
        <v>16082.880426899999</v>
      </c>
      <c r="F15" s="26">
        <f>SUM(F8:F14)</f>
        <v>38.08</v>
      </c>
      <c r="G15" s="42">
        <f>GEOMEAN(G8:H14)</f>
        <v>105.5996354923394</v>
      </c>
      <c r="H15" s="43"/>
    </row>
    <row r="16" spans="2:13" ht="28.75" customHeight="1"/>
    <row r="17" spans="2:8" ht="34" customHeight="1">
      <c r="B17" s="31" t="s">
        <v>11</v>
      </c>
      <c r="C17" s="32"/>
      <c r="D17" s="33"/>
      <c r="E17" s="15"/>
      <c r="F17" s="31" t="s">
        <v>12</v>
      </c>
      <c r="G17" s="32"/>
      <c r="H17" s="33"/>
    </row>
    <row r="18" spans="2:8" ht="55" customHeight="1">
      <c r="B18" s="37" t="s">
        <v>13</v>
      </c>
      <c r="C18" s="33"/>
      <c r="D18" s="16">
        <v>0.25</v>
      </c>
      <c r="F18" s="37" t="s">
        <v>14</v>
      </c>
      <c r="G18" s="33"/>
      <c r="H18" s="17">
        <v>152.37</v>
      </c>
    </row>
    <row r="19" spans="2:8" ht="52" customHeight="1">
      <c r="B19" s="37" t="s">
        <v>37</v>
      </c>
      <c r="C19" s="33"/>
      <c r="D19" s="17">
        <f>F15</f>
        <v>38.08</v>
      </c>
      <c r="F19" s="37" t="s">
        <v>20</v>
      </c>
      <c r="G19" s="33"/>
      <c r="H19" s="17">
        <f>E15</f>
        <v>16082.880426899999</v>
      </c>
    </row>
    <row r="20" spans="2:8" ht="30" customHeight="1">
      <c r="F20" s="37" t="s">
        <v>15</v>
      </c>
      <c r="G20" s="33"/>
      <c r="H20" s="18">
        <f>H19*6%</f>
        <v>964.97282561399993</v>
      </c>
    </row>
    <row r="21" spans="2:8" ht="29.75" customHeight="1">
      <c r="F21" s="37" t="s">
        <v>16</v>
      </c>
      <c r="G21" s="33"/>
      <c r="H21" s="18">
        <f>-(D19*1.24)</f>
        <v>-47.219200000000001</v>
      </c>
    </row>
    <row r="22" spans="2:8" ht="30" customHeight="1">
      <c r="F22" s="37" t="s">
        <v>17</v>
      </c>
      <c r="G22" s="33"/>
      <c r="H22" s="19">
        <f>H19+H20+H21</f>
        <v>17000.634052514</v>
      </c>
    </row>
    <row r="23" spans="2:8" ht="21.5" customHeight="1">
      <c r="B23" s="31" t="s">
        <v>18</v>
      </c>
      <c r="C23" s="32"/>
      <c r="D23" s="33"/>
    </row>
    <row r="24" spans="2:8" ht="36" customHeight="1">
      <c r="B24" s="20" t="s">
        <v>38</v>
      </c>
      <c r="C24" s="34" t="s">
        <v>40</v>
      </c>
      <c r="D24" s="33"/>
      <c r="F24" s="31" t="s">
        <v>19</v>
      </c>
      <c r="G24" s="32"/>
      <c r="H24" s="33"/>
    </row>
    <row r="25" spans="2:8" ht="25.25" customHeight="1">
      <c r="B25" s="21" t="s">
        <v>7</v>
      </c>
      <c r="C25" s="35" t="s">
        <v>42</v>
      </c>
      <c r="D25" s="36"/>
      <c r="F25" s="37" t="s">
        <v>20</v>
      </c>
      <c r="G25" s="33"/>
      <c r="H25" s="18">
        <f>H19</f>
        <v>16082.880426899999</v>
      </c>
    </row>
    <row r="26" spans="2:8" ht="28.5" customHeight="1">
      <c r="F26" s="37" t="s">
        <v>15</v>
      </c>
      <c r="G26" s="33"/>
      <c r="H26" s="18">
        <f>H25*6%</f>
        <v>964.97282561399993</v>
      </c>
    </row>
    <row r="27" spans="2:8" ht="28.5" customHeight="1">
      <c r="F27" s="37" t="s">
        <v>21</v>
      </c>
      <c r="G27" s="33"/>
      <c r="H27" s="18">
        <f>H25+H26</f>
        <v>17047.853252514</v>
      </c>
    </row>
    <row r="28" spans="2:8" ht="21" customHeight="1"/>
    <row r="29" spans="2:8" ht="38.25" customHeight="1">
      <c r="B29" s="29" t="s">
        <v>22</v>
      </c>
      <c r="C29" s="30"/>
      <c r="D29" s="30"/>
      <c r="E29" s="30"/>
      <c r="F29" s="30"/>
      <c r="G29" s="30"/>
      <c r="H29" s="30"/>
    </row>
    <row r="30" spans="2:8" ht="39" customHeight="1">
      <c r="B30" s="30"/>
      <c r="C30" s="30"/>
      <c r="D30" s="30"/>
      <c r="E30" s="30"/>
      <c r="F30" s="30"/>
      <c r="G30" s="30"/>
      <c r="H30" s="30"/>
    </row>
    <row r="31" spans="2:8" ht="28.75" customHeight="1"/>
    <row r="33" ht="28.75" customHeight="1"/>
    <row r="35" ht="36" customHeight="1"/>
    <row r="36" ht="28.5" customHeight="1"/>
    <row r="37" ht="28.5" customHeight="1"/>
    <row r="38" ht="28.5" customHeight="1"/>
  </sheetData>
  <mergeCells count="34">
    <mergeCell ref="D1:F1"/>
    <mergeCell ref="G1:H1"/>
    <mergeCell ref="D4:F4"/>
    <mergeCell ref="G4:H4"/>
    <mergeCell ref="G7:H7"/>
    <mergeCell ref="D5:F5"/>
    <mergeCell ref="G5:H5"/>
    <mergeCell ref="C6:H6"/>
    <mergeCell ref="I7:M7"/>
    <mergeCell ref="G8:H8"/>
    <mergeCell ref="G9:H9"/>
    <mergeCell ref="G10:H10"/>
    <mergeCell ref="G15:H15"/>
    <mergeCell ref="G11:H11"/>
    <mergeCell ref="G12:H12"/>
    <mergeCell ref="G13:H13"/>
    <mergeCell ref="G14:H14"/>
    <mergeCell ref="B17:D17"/>
    <mergeCell ref="F17:H17"/>
    <mergeCell ref="B18:C18"/>
    <mergeCell ref="F18:G18"/>
    <mergeCell ref="B19:C19"/>
    <mergeCell ref="F19:G19"/>
    <mergeCell ref="F20:G20"/>
    <mergeCell ref="F21:G21"/>
    <mergeCell ref="F22:G22"/>
    <mergeCell ref="F26:G26"/>
    <mergeCell ref="F27:G27"/>
    <mergeCell ref="B29:H30"/>
    <mergeCell ref="B23:D23"/>
    <mergeCell ref="C24:D24"/>
    <mergeCell ref="F24:H24"/>
    <mergeCell ref="C25:D25"/>
    <mergeCell ref="F25:G25"/>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81F57-E695-774F-A810-494E0EBF7BFC}">
  <dimension ref="A1:F97"/>
  <sheetViews>
    <sheetView topLeftCell="A70" workbookViewId="0">
      <selection activeCell="I94" sqref="I94"/>
    </sheetView>
  </sheetViews>
  <sheetFormatPr baseColWidth="10" defaultRowHeight="15"/>
  <sheetData>
    <row r="1" spans="1:6">
      <c r="A1" s="28">
        <v>88</v>
      </c>
      <c r="B1" s="28">
        <v>220.95</v>
      </c>
      <c r="C1">
        <f>A1*B1</f>
        <v>19443.599999999999</v>
      </c>
      <c r="E1" s="28">
        <v>243.21</v>
      </c>
      <c r="F1">
        <f>A1*E1</f>
        <v>21402.48</v>
      </c>
    </row>
    <row r="2" spans="1:6">
      <c r="A2" s="28">
        <v>83.9</v>
      </c>
      <c r="B2" s="28">
        <v>221.19</v>
      </c>
      <c r="C2">
        <f t="shared" ref="C2:C65" si="0">A2*B2</f>
        <v>18557.841</v>
      </c>
      <c r="E2" s="28">
        <v>243.15</v>
      </c>
      <c r="F2">
        <f t="shared" ref="F2:F65" si="1">A2*E2</f>
        <v>20400.285000000003</v>
      </c>
    </row>
    <row r="3" spans="1:6">
      <c r="A3" s="28">
        <v>80.11</v>
      </c>
      <c r="B3" s="28">
        <v>220.95</v>
      </c>
      <c r="C3">
        <f t="shared" si="0"/>
        <v>17700.304499999998</v>
      </c>
      <c r="E3" s="28">
        <v>243.09</v>
      </c>
      <c r="F3">
        <f t="shared" si="1"/>
        <v>19473.939900000001</v>
      </c>
    </row>
    <row r="4" spans="1:6">
      <c r="A4" s="28">
        <v>78</v>
      </c>
      <c r="B4" s="28">
        <v>220.92</v>
      </c>
      <c r="C4">
        <f t="shared" si="0"/>
        <v>17231.759999999998</v>
      </c>
      <c r="E4" s="28">
        <v>243.12</v>
      </c>
      <c r="F4">
        <f t="shared" si="1"/>
        <v>18963.36</v>
      </c>
    </row>
    <row r="5" spans="1:6">
      <c r="A5" s="28">
        <v>85.04</v>
      </c>
      <c r="B5" s="28">
        <v>220.95</v>
      </c>
      <c r="C5">
        <f t="shared" si="0"/>
        <v>18789.588</v>
      </c>
      <c r="E5" s="28">
        <v>243.09</v>
      </c>
      <c r="F5">
        <f t="shared" si="1"/>
        <v>20672.373600000003</v>
      </c>
    </row>
    <row r="6" spans="1:6">
      <c r="A6" s="28">
        <v>85.86</v>
      </c>
      <c r="B6" s="28">
        <v>220.98</v>
      </c>
      <c r="C6">
        <f t="shared" si="0"/>
        <v>18973.342799999999</v>
      </c>
      <c r="E6" s="28">
        <v>243.15</v>
      </c>
      <c r="F6">
        <f t="shared" si="1"/>
        <v>20876.859</v>
      </c>
    </row>
    <row r="7" spans="1:6">
      <c r="A7" s="28">
        <v>75</v>
      </c>
      <c r="B7" s="28">
        <v>220.95</v>
      </c>
      <c r="C7">
        <f t="shared" si="0"/>
        <v>16571.25</v>
      </c>
      <c r="E7" s="28">
        <v>243.24</v>
      </c>
      <c r="F7">
        <f t="shared" si="1"/>
        <v>18243</v>
      </c>
    </row>
    <row r="8" spans="1:6">
      <c r="A8" s="28">
        <v>67.22</v>
      </c>
      <c r="B8" s="28">
        <v>220.95</v>
      </c>
      <c r="C8">
        <f t="shared" si="0"/>
        <v>14852.258999999998</v>
      </c>
      <c r="E8" s="28">
        <v>243.24</v>
      </c>
      <c r="F8">
        <f t="shared" si="1"/>
        <v>16350.5928</v>
      </c>
    </row>
    <row r="9" spans="1:6">
      <c r="A9" s="28">
        <v>81.22</v>
      </c>
      <c r="B9" s="28">
        <v>220.95</v>
      </c>
      <c r="C9">
        <f t="shared" si="0"/>
        <v>17945.558999999997</v>
      </c>
      <c r="E9" s="28">
        <v>243.24</v>
      </c>
      <c r="F9">
        <f t="shared" si="1"/>
        <v>19755.952799999999</v>
      </c>
    </row>
    <row r="10" spans="1:6">
      <c r="A10" s="28">
        <v>73.540000000000006</v>
      </c>
      <c r="B10" s="28">
        <v>220.95</v>
      </c>
      <c r="C10">
        <f t="shared" si="0"/>
        <v>16248.663</v>
      </c>
      <c r="E10" s="28">
        <v>243.48</v>
      </c>
      <c r="F10">
        <f t="shared" si="1"/>
        <v>17905.519200000002</v>
      </c>
    </row>
    <row r="11" spans="1:6">
      <c r="A11" s="28">
        <v>71.459999999999994</v>
      </c>
      <c r="B11" s="28">
        <v>220.95</v>
      </c>
      <c r="C11">
        <f t="shared" si="0"/>
        <v>15789.086999999998</v>
      </c>
      <c r="E11" s="28">
        <v>243.39</v>
      </c>
      <c r="F11">
        <f t="shared" si="1"/>
        <v>17392.649399999998</v>
      </c>
    </row>
    <row r="12" spans="1:6">
      <c r="A12" s="28">
        <v>71.19</v>
      </c>
      <c r="B12" s="28">
        <v>220.92</v>
      </c>
      <c r="C12">
        <f t="shared" si="0"/>
        <v>15727.294799999998</v>
      </c>
      <c r="E12" s="28">
        <v>243.36</v>
      </c>
      <c r="F12">
        <f t="shared" si="1"/>
        <v>17324.7984</v>
      </c>
    </row>
    <row r="13" spans="1:6">
      <c r="A13" s="28">
        <v>74.84</v>
      </c>
      <c r="B13" s="28">
        <v>220.92</v>
      </c>
      <c r="C13">
        <f t="shared" si="0"/>
        <v>16533.6528</v>
      </c>
      <c r="E13" s="28">
        <v>243.24</v>
      </c>
      <c r="F13">
        <f t="shared" si="1"/>
        <v>18204.081600000001</v>
      </c>
    </row>
    <row r="14" spans="1:6">
      <c r="A14" s="28">
        <v>71.42</v>
      </c>
      <c r="B14" s="28">
        <v>220.95</v>
      </c>
      <c r="C14">
        <f t="shared" si="0"/>
        <v>15780.249</v>
      </c>
      <c r="E14" s="28">
        <v>243.12</v>
      </c>
      <c r="F14">
        <f t="shared" si="1"/>
        <v>17363.630400000002</v>
      </c>
    </row>
    <row r="15" spans="1:6">
      <c r="A15" s="28">
        <v>68.69</v>
      </c>
      <c r="B15" s="28">
        <v>220.92</v>
      </c>
      <c r="C15">
        <f t="shared" si="0"/>
        <v>15174.994799999999</v>
      </c>
      <c r="E15" s="28">
        <v>243.12</v>
      </c>
      <c r="F15">
        <f t="shared" si="1"/>
        <v>16699.912799999998</v>
      </c>
    </row>
    <row r="16" spans="1:6">
      <c r="A16" s="28">
        <v>66.81</v>
      </c>
      <c r="B16" s="28">
        <v>220.92</v>
      </c>
      <c r="C16">
        <f t="shared" si="0"/>
        <v>14759.665199999999</v>
      </c>
      <c r="E16" s="28">
        <v>243.15</v>
      </c>
      <c r="F16">
        <f t="shared" si="1"/>
        <v>16244.851500000001</v>
      </c>
    </row>
    <row r="17" spans="1:6">
      <c r="A17" s="28">
        <v>65.180000000000007</v>
      </c>
      <c r="B17" s="28">
        <v>221.19</v>
      </c>
      <c r="C17">
        <f t="shared" si="0"/>
        <v>14417.164200000001</v>
      </c>
      <c r="E17" s="28">
        <v>243.18</v>
      </c>
      <c r="F17">
        <f t="shared" si="1"/>
        <v>15850.472400000002</v>
      </c>
    </row>
    <row r="18" spans="1:6">
      <c r="A18" s="28">
        <v>63.01</v>
      </c>
      <c r="B18" s="28">
        <v>220.92</v>
      </c>
      <c r="C18">
        <f t="shared" si="0"/>
        <v>13920.169199999998</v>
      </c>
      <c r="E18" s="28">
        <v>243.24</v>
      </c>
      <c r="F18">
        <f t="shared" si="1"/>
        <v>15326.5524</v>
      </c>
    </row>
    <row r="19" spans="1:6">
      <c r="A19" s="28">
        <v>63.38</v>
      </c>
      <c r="B19" s="28">
        <v>220.92</v>
      </c>
      <c r="C19">
        <f t="shared" si="0"/>
        <v>14001.909599999999</v>
      </c>
      <c r="E19" s="28">
        <v>243.27</v>
      </c>
      <c r="F19">
        <f t="shared" si="1"/>
        <v>15418.452600000001</v>
      </c>
    </row>
    <row r="20" spans="1:6">
      <c r="A20" s="28">
        <v>61.35</v>
      </c>
      <c r="B20" s="28">
        <v>220.95</v>
      </c>
      <c r="C20">
        <f t="shared" si="0"/>
        <v>13555.282499999999</v>
      </c>
      <c r="E20" s="28">
        <v>243.27</v>
      </c>
      <c r="F20">
        <f t="shared" si="1"/>
        <v>14924.614500000001</v>
      </c>
    </row>
    <row r="21" spans="1:6">
      <c r="A21" s="28">
        <v>62.74</v>
      </c>
      <c r="B21" s="28">
        <v>220.95</v>
      </c>
      <c r="C21">
        <f t="shared" si="0"/>
        <v>13862.403</v>
      </c>
      <c r="E21" s="28">
        <v>243.33</v>
      </c>
      <c r="F21">
        <f t="shared" si="1"/>
        <v>15266.524200000002</v>
      </c>
    </row>
    <row r="22" spans="1:6">
      <c r="A22" s="28">
        <v>61.43</v>
      </c>
      <c r="B22" s="28">
        <v>220.92</v>
      </c>
      <c r="C22">
        <f t="shared" si="0"/>
        <v>13571.115599999999</v>
      </c>
      <c r="E22" s="28">
        <v>243.36</v>
      </c>
      <c r="F22">
        <f t="shared" si="1"/>
        <v>14949.604800000001</v>
      </c>
    </row>
    <row r="23" spans="1:6">
      <c r="A23" s="28">
        <v>60.66</v>
      </c>
      <c r="B23" s="28">
        <v>220.92</v>
      </c>
      <c r="C23">
        <f t="shared" si="0"/>
        <v>13401.007199999998</v>
      </c>
      <c r="E23" s="28">
        <v>243.69</v>
      </c>
      <c r="F23">
        <f t="shared" si="1"/>
        <v>14782.2354</v>
      </c>
    </row>
    <row r="24" spans="1:6">
      <c r="A24" s="28">
        <v>58.71</v>
      </c>
      <c r="B24" s="28">
        <v>220.95</v>
      </c>
      <c r="C24">
        <f t="shared" si="0"/>
        <v>12971.9745</v>
      </c>
      <c r="E24" s="28">
        <v>243.45</v>
      </c>
      <c r="F24">
        <f t="shared" si="1"/>
        <v>14292.949499999999</v>
      </c>
    </row>
    <row r="25" spans="1:6">
      <c r="A25" s="28">
        <v>63.89</v>
      </c>
      <c r="B25" s="28">
        <v>220.92</v>
      </c>
      <c r="C25">
        <f t="shared" si="0"/>
        <v>14114.578799999999</v>
      </c>
      <c r="E25" s="28">
        <v>243.45</v>
      </c>
      <c r="F25">
        <f t="shared" si="1"/>
        <v>15554.020499999999</v>
      </c>
    </row>
    <row r="26" spans="1:6">
      <c r="A26" s="28">
        <v>64.22</v>
      </c>
      <c r="B26" s="28">
        <v>220.92</v>
      </c>
      <c r="C26">
        <f t="shared" si="0"/>
        <v>14187.482399999999</v>
      </c>
      <c r="E26" s="28">
        <v>243.48</v>
      </c>
      <c r="F26">
        <f t="shared" si="1"/>
        <v>15636.285599999999</v>
      </c>
    </row>
    <row r="27" spans="1:6">
      <c r="A27" s="28">
        <v>65</v>
      </c>
      <c r="B27" s="28">
        <v>220.92</v>
      </c>
      <c r="C27">
        <f t="shared" si="0"/>
        <v>14359.8</v>
      </c>
      <c r="E27" s="28">
        <v>243.51</v>
      </c>
      <c r="F27">
        <f t="shared" si="1"/>
        <v>15828.15</v>
      </c>
    </row>
    <row r="28" spans="1:6">
      <c r="A28" s="28">
        <v>82.35</v>
      </c>
      <c r="B28" s="28">
        <v>220.92</v>
      </c>
      <c r="C28">
        <f t="shared" si="0"/>
        <v>18192.761999999999</v>
      </c>
      <c r="E28" s="28">
        <v>243.57</v>
      </c>
      <c r="F28">
        <f t="shared" si="1"/>
        <v>20057.9895</v>
      </c>
    </row>
    <row r="29" spans="1:6">
      <c r="A29" s="28">
        <v>71.69</v>
      </c>
      <c r="B29" s="28">
        <v>220.95</v>
      </c>
      <c r="C29">
        <f t="shared" si="0"/>
        <v>15839.905499999999</v>
      </c>
      <c r="E29" s="28">
        <v>243.57</v>
      </c>
      <c r="F29">
        <f t="shared" si="1"/>
        <v>17461.533299999999</v>
      </c>
    </row>
    <row r="30" spans="1:6">
      <c r="A30" s="28">
        <v>80.349999999999994</v>
      </c>
      <c r="B30" s="28">
        <v>221.19</v>
      </c>
      <c r="C30">
        <f t="shared" si="0"/>
        <v>17772.6165</v>
      </c>
      <c r="E30" s="28">
        <v>243.51</v>
      </c>
      <c r="F30">
        <f t="shared" si="1"/>
        <v>19566.028499999997</v>
      </c>
    </row>
    <row r="31" spans="1:6">
      <c r="A31" s="28">
        <v>85.04</v>
      </c>
      <c r="B31" s="28">
        <v>220.95</v>
      </c>
      <c r="C31">
        <f t="shared" si="0"/>
        <v>18789.588</v>
      </c>
      <c r="E31" s="28">
        <v>243.48</v>
      </c>
      <c r="F31">
        <f t="shared" si="1"/>
        <v>20705.539199999999</v>
      </c>
    </row>
    <row r="32" spans="1:6">
      <c r="A32" s="28">
        <v>90.79</v>
      </c>
      <c r="B32" s="28">
        <v>220.98</v>
      </c>
      <c r="C32">
        <f t="shared" si="0"/>
        <v>20062.7742</v>
      </c>
      <c r="E32" s="28">
        <v>243.48</v>
      </c>
      <c r="F32">
        <f t="shared" si="1"/>
        <v>22105.549200000001</v>
      </c>
    </row>
    <row r="33" spans="1:6">
      <c r="A33" s="28">
        <v>80.02</v>
      </c>
      <c r="B33" s="28">
        <v>220.92</v>
      </c>
      <c r="C33">
        <f t="shared" si="0"/>
        <v>17678.018399999997</v>
      </c>
      <c r="E33" s="28">
        <v>68.88</v>
      </c>
      <c r="F33">
        <f t="shared" si="1"/>
        <v>5511.7775999999994</v>
      </c>
    </row>
    <row r="34" spans="1:6">
      <c r="A34" s="28">
        <v>80.55</v>
      </c>
      <c r="B34" s="28">
        <v>75.12</v>
      </c>
      <c r="C34">
        <f t="shared" si="0"/>
        <v>6050.9160000000002</v>
      </c>
      <c r="E34" s="28">
        <v>0</v>
      </c>
      <c r="F34">
        <f t="shared" si="1"/>
        <v>0</v>
      </c>
    </row>
    <row r="35" spans="1:6">
      <c r="A35" s="28">
        <v>0</v>
      </c>
      <c r="B35" s="28">
        <v>0</v>
      </c>
      <c r="C35">
        <f t="shared" si="0"/>
        <v>0</v>
      </c>
      <c r="E35" s="28">
        <v>0</v>
      </c>
      <c r="F35">
        <f t="shared" si="1"/>
        <v>0</v>
      </c>
    </row>
    <row r="36" spans="1:6">
      <c r="A36" s="28">
        <v>0</v>
      </c>
      <c r="B36" s="28">
        <v>0</v>
      </c>
      <c r="C36">
        <f t="shared" si="0"/>
        <v>0</v>
      </c>
      <c r="E36" s="28">
        <v>0</v>
      </c>
      <c r="F36">
        <f t="shared" si="1"/>
        <v>0</v>
      </c>
    </row>
    <row r="37" spans="1:6">
      <c r="A37" s="28">
        <v>0</v>
      </c>
      <c r="B37" s="28">
        <v>0</v>
      </c>
      <c r="C37">
        <f t="shared" si="0"/>
        <v>0</v>
      </c>
      <c r="E37" s="28">
        <v>0</v>
      </c>
      <c r="F37">
        <f t="shared" si="1"/>
        <v>0</v>
      </c>
    </row>
    <row r="38" spans="1:6">
      <c r="A38" s="28">
        <v>0</v>
      </c>
      <c r="B38" s="28">
        <v>0</v>
      </c>
      <c r="C38">
        <f t="shared" si="0"/>
        <v>0</v>
      </c>
      <c r="E38" s="28">
        <v>0</v>
      </c>
      <c r="F38">
        <f t="shared" si="1"/>
        <v>0</v>
      </c>
    </row>
    <row r="39" spans="1:6">
      <c r="A39" s="28">
        <v>-0.1</v>
      </c>
      <c r="B39" s="28">
        <v>0</v>
      </c>
      <c r="C39">
        <f t="shared" si="0"/>
        <v>0</v>
      </c>
      <c r="E39" s="28">
        <v>0</v>
      </c>
      <c r="F39">
        <f t="shared" si="1"/>
        <v>0</v>
      </c>
    </row>
    <row r="40" spans="1:6">
      <c r="A40" s="28">
        <v>-0.1</v>
      </c>
      <c r="B40" s="28">
        <v>0</v>
      </c>
      <c r="C40">
        <f t="shared" si="0"/>
        <v>0</v>
      </c>
      <c r="E40" s="28">
        <v>0</v>
      </c>
      <c r="F40">
        <f t="shared" si="1"/>
        <v>0</v>
      </c>
    </row>
    <row r="41" spans="1:6">
      <c r="A41" s="28">
        <v>-0.1</v>
      </c>
      <c r="B41" s="28">
        <v>0</v>
      </c>
      <c r="C41">
        <f t="shared" si="0"/>
        <v>0</v>
      </c>
      <c r="E41" s="28">
        <v>0</v>
      </c>
      <c r="F41">
        <f t="shared" si="1"/>
        <v>0</v>
      </c>
    </row>
    <row r="42" spans="1:6">
      <c r="A42" s="28">
        <v>-1</v>
      </c>
      <c r="B42" s="28">
        <v>0</v>
      </c>
      <c r="C42">
        <f t="shared" si="0"/>
        <v>0</v>
      </c>
      <c r="E42" s="28">
        <v>0</v>
      </c>
      <c r="F42">
        <f t="shared" si="1"/>
        <v>0</v>
      </c>
    </row>
    <row r="43" spans="1:6">
      <c r="A43" s="28">
        <v>-2</v>
      </c>
      <c r="B43" s="28">
        <v>0</v>
      </c>
      <c r="C43">
        <f t="shared" si="0"/>
        <v>0</v>
      </c>
      <c r="E43" s="28">
        <v>0</v>
      </c>
      <c r="F43">
        <f t="shared" si="1"/>
        <v>0</v>
      </c>
    </row>
    <row r="44" spans="1:6">
      <c r="A44" s="28">
        <v>-2</v>
      </c>
      <c r="B44" s="28">
        <v>0</v>
      </c>
      <c r="C44">
        <f t="shared" si="0"/>
        <v>0</v>
      </c>
      <c r="E44" s="28">
        <v>0</v>
      </c>
      <c r="F44">
        <f t="shared" si="1"/>
        <v>0</v>
      </c>
    </row>
    <row r="45" spans="1:6">
      <c r="A45" s="28">
        <v>-2</v>
      </c>
      <c r="B45" s="28">
        <v>0</v>
      </c>
      <c r="C45">
        <f t="shared" si="0"/>
        <v>0</v>
      </c>
      <c r="E45" s="28">
        <v>0</v>
      </c>
      <c r="F45">
        <f t="shared" si="1"/>
        <v>0</v>
      </c>
    </row>
    <row r="46" spans="1:6">
      <c r="A46" s="28">
        <v>-3.48</v>
      </c>
      <c r="B46" s="28">
        <v>0</v>
      </c>
      <c r="C46">
        <f t="shared" si="0"/>
        <v>0</v>
      </c>
      <c r="E46" s="28">
        <v>0</v>
      </c>
      <c r="F46">
        <f t="shared" si="1"/>
        <v>0</v>
      </c>
    </row>
    <row r="47" spans="1:6">
      <c r="A47" s="28">
        <v>-3.5</v>
      </c>
      <c r="B47" s="28">
        <v>0</v>
      </c>
      <c r="C47">
        <f t="shared" si="0"/>
        <v>0</v>
      </c>
      <c r="E47" s="28">
        <v>0</v>
      </c>
      <c r="F47">
        <f t="shared" si="1"/>
        <v>0</v>
      </c>
    </row>
    <row r="48" spans="1:6">
      <c r="A48" s="28">
        <v>-3.96</v>
      </c>
      <c r="B48" s="28">
        <v>0</v>
      </c>
      <c r="C48">
        <f t="shared" si="0"/>
        <v>0</v>
      </c>
      <c r="E48" s="28">
        <v>0</v>
      </c>
      <c r="F48">
        <f t="shared" si="1"/>
        <v>0</v>
      </c>
    </row>
    <row r="49" spans="1:6">
      <c r="A49" s="28">
        <v>-2.33</v>
      </c>
      <c r="B49" s="28">
        <v>0</v>
      </c>
      <c r="C49">
        <f t="shared" si="0"/>
        <v>0</v>
      </c>
      <c r="E49" s="28">
        <v>0</v>
      </c>
      <c r="F49">
        <f t="shared" si="1"/>
        <v>0</v>
      </c>
    </row>
    <row r="50" spans="1:6">
      <c r="A50" s="28">
        <v>-4.5</v>
      </c>
      <c r="B50" s="28">
        <v>0</v>
      </c>
      <c r="C50">
        <f t="shared" si="0"/>
        <v>0</v>
      </c>
      <c r="E50" s="28">
        <v>0</v>
      </c>
      <c r="F50">
        <f t="shared" si="1"/>
        <v>0</v>
      </c>
    </row>
    <row r="51" spans="1:6">
      <c r="A51" s="28">
        <v>-2.67</v>
      </c>
      <c r="B51" s="28">
        <v>0</v>
      </c>
      <c r="C51">
        <f t="shared" si="0"/>
        <v>0</v>
      </c>
      <c r="E51" s="28">
        <v>0</v>
      </c>
      <c r="F51">
        <f t="shared" si="1"/>
        <v>0</v>
      </c>
    </row>
    <row r="52" spans="1:6">
      <c r="A52" s="28">
        <v>-2.2599999999999998</v>
      </c>
      <c r="B52" s="28">
        <v>0</v>
      </c>
      <c r="C52">
        <f t="shared" si="0"/>
        <v>0</v>
      </c>
      <c r="E52" s="28">
        <v>0</v>
      </c>
      <c r="F52">
        <f t="shared" si="1"/>
        <v>0</v>
      </c>
    </row>
    <row r="53" spans="1:6">
      <c r="A53" s="28">
        <v>-2</v>
      </c>
      <c r="B53" s="28">
        <v>0</v>
      </c>
      <c r="C53">
        <f t="shared" si="0"/>
        <v>0</v>
      </c>
      <c r="E53" s="28">
        <v>0</v>
      </c>
      <c r="F53">
        <f t="shared" si="1"/>
        <v>0</v>
      </c>
    </row>
    <row r="54" spans="1:6">
      <c r="A54" s="28">
        <v>-2.41</v>
      </c>
      <c r="B54" s="28">
        <v>0</v>
      </c>
      <c r="C54">
        <f t="shared" si="0"/>
        <v>0</v>
      </c>
      <c r="E54" s="28">
        <v>0</v>
      </c>
      <c r="F54">
        <f t="shared" si="1"/>
        <v>0</v>
      </c>
    </row>
    <row r="55" spans="1:6">
      <c r="A55" s="28">
        <v>-2</v>
      </c>
      <c r="B55" s="28">
        <v>0</v>
      </c>
      <c r="C55">
        <f t="shared" si="0"/>
        <v>0</v>
      </c>
      <c r="E55" s="28">
        <v>0</v>
      </c>
      <c r="F55">
        <f t="shared" si="1"/>
        <v>0</v>
      </c>
    </row>
    <row r="56" spans="1:6">
      <c r="A56" s="28">
        <v>-2</v>
      </c>
      <c r="B56" s="28">
        <v>0</v>
      </c>
      <c r="C56">
        <f t="shared" si="0"/>
        <v>0</v>
      </c>
      <c r="E56" s="28">
        <v>0</v>
      </c>
      <c r="F56">
        <f t="shared" si="1"/>
        <v>0</v>
      </c>
    </row>
    <row r="57" spans="1:6">
      <c r="A57" s="28">
        <v>-2</v>
      </c>
      <c r="B57" s="28">
        <v>0</v>
      </c>
      <c r="C57">
        <f t="shared" si="0"/>
        <v>0</v>
      </c>
      <c r="E57" s="28">
        <v>0</v>
      </c>
      <c r="F57">
        <f t="shared" si="1"/>
        <v>0</v>
      </c>
    </row>
    <row r="58" spans="1:6">
      <c r="A58" s="28">
        <v>-2</v>
      </c>
      <c r="B58" s="28">
        <v>0</v>
      </c>
      <c r="C58">
        <f t="shared" si="0"/>
        <v>0</v>
      </c>
      <c r="E58" s="28">
        <v>0</v>
      </c>
      <c r="F58">
        <f t="shared" si="1"/>
        <v>0</v>
      </c>
    </row>
    <row r="59" spans="1:6">
      <c r="A59" s="28">
        <v>-2</v>
      </c>
      <c r="B59" s="28">
        <v>0</v>
      </c>
      <c r="C59">
        <f t="shared" si="0"/>
        <v>0</v>
      </c>
      <c r="E59" s="28">
        <v>0</v>
      </c>
      <c r="F59">
        <f t="shared" si="1"/>
        <v>0</v>
      </c>
    </row>
    <row r="60" spans="1:6">
      <c r="A60" s="28">
        <v>-2</v>
      </c>
      <c r="B60" s="28">
        <v>0</v>
      </c>
      <c r="C60">
        <f t="shared" si="0"/>
        <v>0</v>
      </c>
      <c r="E60" s="28">
        <v>0</v>
      </c>
      <c r="F60">
        <f t="shared" si="1"/>
        <v>0</v>
      </c>
    </row>
    <row r="61" spans="1:6">
      <c r="A61" s="28">
        <v>-2</v>
      </c>
      <c r="B61" s="28">
        <v>0</v>
      </c>
      <c r="C61">
        <f t="shared" si="0"/>
        <v>0</v>
      </c>
      <c r="E61" s="28">
        <v>139.65</v>
      </c>
      <c r="F61">
        <f t="shared" si="1"/>
        <v>-279.3</v>
      </c>
    </row>
    <row r="62" spans="1:6">
      <c r="A62" s="28">
        <v>-0.1</v>
      </c>
      <c r="B62" s="28">
        <v>85.92</v>
      </c>
      <c r="C62">
        <f t="shared" si="0"/>
        <v>-8.5920000000000005</v>
      </c>
      <c r="E62" s="28">
        <v>243.54</v>
      </c>
      <c r="F62">
        <f t="shared" si="1"/>
        <v>-24.353999999999999</v>
      </c>
    </row>
    <row r="63" spans="1:6">
      <c r="A63" s="28">
        <v>0</v>
      </c>
      <c r="B63" s="28">
        <v>181.2</v>
      </c>
      <c r="C63">
        <f t="shared" si="0"/>
        <v>0</v>
      </c>
      <c r="E63" s="28">
        <v>243.3</v>
      </c>
      <c r="F63">
        <f t="shared" si="1"/>
        <v>0</v>
      </c>
    </row>
    <row r="64" spans="1:6">
      <c r="A64" s="28">
        <v>5</v>
      </c>
      <c r="B64" s="28">
        <v>219.84</v>
      </c>
      <c r="C64">
        <f t="shared" si="0"/>
        <v>1099.2</v>
      </c>
      <c r="E64" s="28">
        <v>243.27</v>
      </c>
      <c r="F64">
        <f t="shared" si="1"/>
        <v>1216.3500000000001</v>
      </c>
    </row>
    <row r="65" spans="1:6">
      <c r="A65" s="28">
        <v>0</v>
      </c>
      <c r="B65" s="28">
        <v>220.47</v>
      </c>
      <c r="C65">
        <f t="shared" si="0"/>
        <v>0</v>
      </c>
      <c r="E65" s="28">
        <v>243.21</v>
      </c>
      <c r="F65">
        <f t="shared" si="1"/>
        <v>0</v>
      </c>
    </row>
    <row r="66" spans="1:6">
      <c r="A66" s="28">
        <v>75</v>
      </c>
      <c r="B66" s="28">
        <v>220.56</v>
      </c>
      <c r="C66">
        <f t="shared" ref="C66:C96" si="2">A66*B66</f>
        <v>16542</v>
      </c>
      <c r="E66" s="28">
        <v>243.21</v>
      </c>
      <c r="F66">
        <f t="shared" ref="F66:F96" si="3">A66*E66</f>
        <v>18240.75</v>
      </c>
    </row>
    <row r="67" spans="1:6">
      <c r="A67" s="28">
        <v>89.12</v>
      </c>
      <c r="B67" s="28">
        <v>220.8</v>
      </c>
      <c r="C67">
        <f t="shared" si="2"/>
        <v>19677.696000000004</v>
      </c>
      <c r="E67" s="28">
        <v>243.27</v>
      </c>
      <c r="F67">
        <f t="shared" si="3"/>
        <v>21680.222400000002</v>
      </c>
    </row>
    <row r="68" spans="1:6">
      <c r="A68" s="28">
        <v>110.89</v>
      </c>
      <c r="B68" s="28">
        <v>220.56</v>
      </c>
      <c r="C68">
        <f t="shared" si="2"/>
        <v>24457.898400000002</v>
      </c>
      <c r="E68" s="28">
        <v>243.36</v>
      </c>
      <c r="F68">
        <f t="shared" si="3"/>
        <v>26986.190400000003</v>
      </c>
    </row>
    <row r="69" spans="1:6">
      <c r="A69" s="28">
        <v>117.17</v>
      </c>
      <c r="B69" s="28">
        <v>220.53</v>
      </c>
      <c r="C69">
        <f t="shared" si="2"/>
        <v>25839.500100000001</v>
      </c>
      <c r="E69" s="28">
        <v>243.69</v>
      </c>
      <c r="F69">
        <f t="shared" si="3"/>
        <v>28553.157299999999</v>
      </c>
    </row>
    <row r="70" spans="1:6">
      <c r="A70" s="28">
        <v>117.13</v>
      </c>
      <c r="B70" s="28">
        <v>220.56</v>
      </c>
      <c r="C70">
        <f t="shared" si="2"/>
        <v>25834.192800000001</v>
      </c>
      <c r="E70" s="28">
        <v>243.45</v>
      </c>
      <c r="F70">
        <f t="shared" si="3"/>
        <v>28515.298499999997</v>
      </c>
    </row>
    <row r="71" spans="1:6">
      <c r="A71" s="28">
        <v>120.34</v>
      </c>
      <c r="B71" s="28">
        <v>220.56</v>
      </c>
      <c r="C71">
        <f t="shared" si="2"/>
        <v>26542.190399999999</v>
      </c>
      <c r="E71" s="28">
        <v>243.48</v>
      </c>
      <c r="F71">
        <f t="shared" si="3"/>
        <v>29300.3832</v>
      </c>
    </row>
    <row r="72" spans="1:6">
      <c r="A72" s="28">
        <v>141</v>
      </c>
      <c r="B72" s="28">
        <v>220.62</v>
      </c>
      <c r="C72">
        <f t="shared" si="2"/>
        <v>31107.420000000002</v>
      </c>
      <c r="E72" s="28">
        <v>243.51</v>
      </c>
      <c r="F72">
        <f t="shared" si="3"/>
        <v>34334.909999999996</v>
      </c>
    </row>
    <row r="73" spans="1:6">
      <c r="A73" s="28">
        <v>131.5</v>
      </c>
      <c r="B73" s="28">
        <v>220.95</v>
      </c>
      <c r="C73">
        <f t="shared" si="2"/>
        <v>29054.924999999999</v>
      </c>
      <c r="E73" s="28">
        <v>243.48</v>
      </c>
      <c r="F73">
        <f t="shared" si="3"/>
        <v>32017.62</v>
      </c>
    </row>
    <row r="74" spans="1:6">
      <c r="A74" s="28">
        <v>135.41999999999999</v>
      </c>
      <c r="B74" s="28">
        <v>220.95</v>
      </c>
      <c r="C74">
        <f t="shared" si="2"/>
        <v>29921.048999999995</v>
      </c>
      <c r="E74" s="28">
        <v>243.45</v>
      </c>
      <c r="F74">
        <f t="shared" si="3"/>
        <v>32967.998999999996</v>
      </c>
    </row>
    <row r="75" spans="1:6">
      <c r="A75" s="28">
        <v>138.16999999999999</v>
      </c>
      <c r="B75" s="28">
        <v>220.95</v>
      </c>
      <c r="C75">
        <f t="shared" si="2"/>
        <v>30528.661499999995</v>
      </c>
      <c r="E75" s="28">
        <v>243.45</v>
      </c>
      <c r="F75">
        <f t="shared" si="3"/>
        <v>33637.486499999992</v>
      </c>
    </row>
    <row r="76" spans="1:6">
      <c r="A76" s="28">
        <v>141.82</v>
      </c>
      <c r="B76" s="28">
        <v>220.95</v>
      </c>
      <c r="C76">
        <f t="shared" si="2"/>
        <v>31335.128999999997</v>
      </c>
      <c r="E76" s="28">
        <v>243.48</v>
      </c>
      <c r="F76">
        <f t="shared" si="3"/>
        <v>34530.333599999998</v>
      </c>
    </row>
    <row r="77" spans="1:6">
      <c r="A77" s="28">
        <v>136.49</v>
      </c>
      <c r="B77" s="28">
        <v>220.92</v>
      </c>
      <c r="C77">
        <f t="shared" si="2"/>
        <v>30153.370800000001</v>
      </c>
      <c r="E77" s="28">
        <v>243.54</v>
      </c>
      <c r="F77">
        <f t="shared" si="3"/>
        <v>33240.774600000004</v>
      </c>
    </row>
    <row r="78" spans="1:6">
      <c r="A78" s="28">
        <v>135.94</v>
      </c>
      <c r="B78" s="28">
        <v>220.95</v>
      </c>
      <c r="C78">
        <f t="shared" si="2"/>
        <v>30035.942999999999</v>
      </c>
      <c r="E78" s="28">
        <v>243.57</v>
      </c>
      <c r="F78">
        <f t="shared" si="3"/>
        <v>33110.9058</v>
      </c>
    </row>
    <row r="79" spans="1:6">
      <c r="A79" s="28">
        <v>138.56</v>
      </c>
      <c r="B79" s="28">
        <v>220.92</v>
      </c>
      <c r="C79">
        <f t="shared" si="2"/>
        <v>30610.675199999998</v>
      </c>
      <c r="E79" s="28">
        <v>243.54</v>
      </c>
      <c r="F79">
        <f t="shared" si="3"/>
        <v>33744.902399999999</v>
      </c>
    </row>
    <row r="80" spans="1:6">
      <c r="A80" s="28">
        <v>135.94</v>
      </c>
      <c r="B80" s="28">
        <v>220.95</v>
      </c>
      <c r="C80">
        <f t="shared" si="2"/>
        <v>30035.942999999999</v>
      </c>
      <c r="E80" s="28">
        <v>243.57</v>
      </c>
      <c r="F80">
        <f t="shared" si="3"/>
        <v>33110.9058</v>
      </c>
    </row>
    <row r="81" spans="1:6">
      <c r="A81" s="28">
        <v>137.91</v>
      </c>
      <c r="B81" s="28">
        <v>220.92</v>
      </c>
      <c r="C81">
        <f t="shared" si="2"/>
        <v>30467.077199999996</v>
      </c>
      <c r="E81" s="28">
        <v>243.54</v>
      </c>
      <c r="F81">
        <f t="shared" si="3"/>
        <v>33586.6014</v>
      </c>
    </row>
    <row r="82" spans="1:6">
      <c r="A82" s="28">
        <v>138.49</v>
      </c>
      <c r="B82" s="28">
        <v>220.89</v>
      </c>
      <c r="C82">
        <f t="shared" si="2"/>
        <v>30591.056100000002</v>
      </c>
      <c r="E82" s="28">
        <v>243.84</v>
      </c>
      <c r="F82">
        <f t="shared" si="3"/>
        <v>33769.401600000005</v>
      </c>
    </row>
    <row r="83" spans="1:6">
      <c r="A83" s="28">
        <v>139.41</v>
      </c>
      <c r="B83" s="28">
        <v>221.16</v>
      </c>
      <c r="C83">
        <f t="shared" si="2"/>
        <v>30831.9156</v>
      </c>
      <c r="E83" s="28">
        <v>243.6</v>
      </c>
      <c r="F83">
        <f t="shared" si="3"/>
        <v>33960.275999999998</v>
      </c>
    </row>
    <row r="84" spans="1:6">
      <c r="A84" s="28">
        <v>133.19999999999999</v>
      </c>
      <c r="B84" s="28">
        <v>220.89</v>
      </c>
      <c r="C84">
        <f t="shared" si="2"/>
        <v>29422.547999999995</v>
      </c>
      <c r="E84" s="28">
        <v>243.57</v>
      </c>
      <c r="F84">
        <f t="shared" si="3"/>
        <v>32443.523999999998</v>
      </c>
    </row>
    <row r="85" spans="1:6">
      <c r="A85" s="28">
        <v>137.75</v>
      </c>
      <c r="B85" s="28">
        <v>220.95</v>
      </c>
      <c r="C85">
        <f t="shared" si="2"/>
        <v>30435.862499999999</v>
      </c>
      <c r="E85" s="28">
        <v>243.54</v>
      </c>
      <c r="F85">
        <f t="shared" si="3"/>
        <v>33547.635000000002</v>
      </c>
    </row>
    <row r="86" spans="1:6">
      <c r="A86" s="28">
        <v>117.94</v>
      </c>
      <c r="B86" s="28">
        <v>220.95</v>
      </c>
      <c r="C86">
        <f t="shared" si="2"/>
        <v>26058.842999999997</v>
      </c>
      <c r="E86" s="28">
        <v>243.6</v>
      </c>
      <c r="F86">
        <f t="shared" si="3"/>
        <v>28730.183999999997</v>
      </c>
    </row>
    <row r="87" spans="1:6">
      <c r="A87" s="28">
        <v>121.45</v>
      </c>
      <c r="B87" s="28">
        <v>220.95</v>
      </c>
      <c r="C87">
        <f t="shared" si="2"/>
        <v>26834.377499999999</v>
      </c>
      <c r="E87" s="28">
        <v>243.48</v>
      </c>
      <c r="F87">
        <f t="shared" si="3"/>
        <v>29570.646000000001</v>
      </c>
    </row>
    <row r="88" spans="1:6">
      <c r="A88" s="28">
        <v>113.76</v>
      </c>
      <c r="B88" s="28">
        <v>220.98</v>
      </c>
      <c r="C88">
        <f t="shared" si="2"/>
        <v>25138.684799999999</v>
      </c>
      <c r="E88" s="28">
        <v>243.51</v>
      </c>
      <c r="F88">
        <f t="shared" si="3"/>
        <v>27701.6976</v>
      </c>
    </row>
    <row r="89" spans="1:6">
      <c r="A89" s="28">
        <v>119.56</v>
      </c>
      <c r="B89" s="28">
        <v>221.01</v>
      </c>
      <c r="C89">
        <f t="shared" si="2"/>
        <v>26423.955600000001</v>
      </c>
      <c r="E89" s="28">
        <v>243.45</v>
      </c>
      <c r="F89">
        <f t="shared" si="3"/>
        <v>29106.881999999998</v>
      </c>
    </row>
    <row r="90" spans="1:6">
      <c r="A90" s="28">
        <v>114.18</v>
      </c>
      <c r="B90" s="28">
        <v>221.01</v>
      </c>
      <c r="C90">
        <f t="shared" si="2"/>
        <v>25234.9218</v>
      </c>
      <c r="E90" s="28">
        <v>243.48</v>
      </c>
      <c r="F90">
        <f t="shared" si="3"/>
        <v>27800.546399999999</v>
      </c>
    </row>
    <row r="91" spans="1:6">
      <c r="A91" s="28">
        <v>101.64</v>
      </c>
      <c r="B91" s="28">
        <v>221.04</v>
      </c>
      <c r="C91">
        <f t="shared" si="2"/>
        <v>22466.5056</v>
      </c>
      <c r="E91" s="28">
        <v>243.54</v>
      </c>
      <c r="F91">
        <f t="shared" si="3"/>
        <v>24753.405599999998</v>
      </c>
    </row>
    <row r="92" spans="1:6">
      <c r="A92" s="28">
        <v>89.57</v>
      </c>
      <c r="B92" s="28">
        <v>221.25</v>
      </c>
      <c r="C92">
        <f t="shared" si="2"/>
        <v>19817.362499999999</v>
      </c>
      <c r="E92" s="28">
        <v>243.51</v>
      </c>
      <c r="F92">
        <f t="shared" si="3"/>
        <v>21811.190699999999</v>
      </c>
    </row>
    <row r="93" spans="1:6">
      <c r="A93" s="28">
        <v>105.82</v>
      </c>
      <c r="B93" s="28">
        <v>220.98</v>
      </c>
      <c r="C93">
        <f t="shared" si="2"/>
        <v>23384.103599999999</v>
      </c>
      <c r="E93" s="28">
        <v>243.51</v>
      </c>
      <c r="F93">
        <f t="shared" si="3"/>
        <v>25768.228199999998</v>
      </c>
    </row>
    <row r="94" spans="1:6">
      <c r="A94" s="28">
        <v>102.09</v>
      </c>
      <c r="B94" s="28">
        <v>220.98</v>
      </c>
      <c r="C94">
        <f t="shared" si="2"/>
        <v>22559.8482</v>
      </c>
      <c r="E94" s="28">
        <v>243.81</v>
      </c>
      <c r="F94">
        <f t="shared" si="3"/>
        <v>24890.562900000001</v>
      </c>
    </row>
    <row r="95" spans="1:6">
      <c r="A95" s="28">
        <v>92.97</v>
      </c>
      <c r="B95" s="28">
        <v>220.98</v>
      </c>
      <c r="C95">
        <f t="shared" si="2"/>
        <v>20544.510599999998</v>
      </c>
      <c r="E95" s="28">
        <v>243.51</v>
      </c>
      <c r="F95">
        <f t="shared" si="3"/>
        <v>22639.1247</v>
      </c>
    </row>
    <row r="96" spans="1:6">
      <c r="A96" s="28">
        <v>81.66</v>
      </c>
      <c r="B96" s="28">
        <v>221.04</v>
      </c>
      <c r="C96">
        <f t="shared" si="2"/>
        <v>18050.126399999997</v>
      </c>
      <c r="E96" s="28">
        <v>243.51</v>
      </c>
      <c r="F96">
        <f t="shared" si="3"/>
        <v>19885.026599999997</v>
      </c>
    </row>
    <row r="97" spans="1:6">
      <c r="A97">
        <f>SUM(A1:A96)</f>
        <v>6151.04</v>
      </c>
      <c r="B97">
        <f t="shared" ref="B97:C97" si="4">SUM(B1:B96)</f>
        <v>14921.970000000003</v>
      </c>
      <c r="C97">
        <f t="shared" si="4"/>
        <v>1357857.4796999996</v>
      </c>
      <c r="D97">
        <f t="shared" ref="D97" si="5">SUM(D1:D96)</f>
        <v>0</v>
      </c>
      <c r="E97">
        <f t="shared" ref="E97" si="6">SUM(E1:E96)</f>
        <v>16517.13</v>
      </c>
      <c r="F97">
        <f t="shared" ref="F97" si="7">SUM(F1:F96)</f>
        <v>1475362.0337999999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Energy Production</vt:lpstr>
      <vt:lpstr>Sheet1</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2025-12-02T10:10:10Z</cp:lastPrinted>
  <dcterms:created xsi:type="dcterms:W3CDTF">2025-03-17T17:41:17Z</dcterms:created>
  <dcterms:modified xsi:type="dcterms:W3CDTF">2025-12-09T09:11:16Z</dcterms:modified>
</cp:coreProperties>
</file>