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50/XLSX/"/>
    </mc:Choice>
  </mc:AlternateContent>
  <xr:revisionPtr revIDLastSave="0" documentId="13_ncr:1_{C62374F8-2E05-5242-BE93-8CF5BB35802E}" xr6:coauthVersionLast="47" xr6:coauthVersionMax="47" xr10:uidLastSave="{00000000-0000-0000-0000-000000000000}"/>
  <bookViews>
    <workbookView xWindow="14260" yWindow="960" windowWidth="15220" windowHeight="1706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E15" i="1"/>
  <c r="F15" i="1"/>
  <c r="G15" i="1" l="1"/>
  <c r="H19" i="1"/>
  <c r="D19" i="1"/>
  <c r="H21" i="1" s="1"/>
  <c r="H20" i="1" l="1"/>
  <c r="H22" i="1" s="1"/>
  <c r="H25" i="1"/>
  <c r="H26" i="1" s="1"/>
  <c r="H27" i="1" s="1"/>
  <c r="G5" i="1" s="1"/>
</calcChain>
</file>

<file path=xl/sharedStrings.xml><?xml version="1.0" encoding="utf-8"?>
<sst xmlns="http://schemas.openxmlformats.org/spreadsheetml/2006/main" count="55" uniqueCount="52">
  <si>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</si>
  <si>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</si>
  <si>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</si>
  <si>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</si>
  <si>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</si>
  <si>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</si>
  <si>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</si>
  <si>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</si>
  <si>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</si>
  <si>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</si>
  <si>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</si>
  <si>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</si>
  <si>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</si>
  <si>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</si>
  <si>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</si>
  <si>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</si>
  <si>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</si>
  <si>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</si>
  <si>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</si>
  <si>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</si>
  <si>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</si>
  <si>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</si>
  <si>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</si>
  <si>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</si>
  <si>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</si>
  <si>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</si>
  <si>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</si>
  <si>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</si>
  <si>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</si>
  <si>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</si>
  <si>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</si>
  <si>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</si>
  <si>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</si>
  <si>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</si>
  <si>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</si>
  <si>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</si>
  <si>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</si>
  <si>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Αρχική</t>
  </si>
  <si>
    <t>Τεχνολογία</t>
  </si>
  <si>
    <t>Email</t>
  </si>
  <si>
    <t>Ανάλυση Εβδομαδιαίας Εκκαθάρισης Παραγωγής Ενέργειας Σταθμού</t>
  </si>
  <si>
    <t>Ενημερωτικό Σημείωμα Εβδομάδας 08/12/25–14/12/25</t>
  </si>
  <si>
    <t>19/12/2025</t>
  </si>
  <si>
    <t>08/12/25-14/12/25</t>
  </si>
  <si>
    <t>08/12/25</t>
  </si>
  <si>
    <t>09/12/25</t>
  </si>
  <si>
    <t>10/12/25</t>
  </si>
  <si>
    <t>11/12/25</t>
  </si>
  <si>
    <t>12/12/25</t>
  </si>
  <si>
    <t>13/12/25</t>
  </si>
  <si>
    <t>14/12/25</t>
  </si>
  <si>
    <t>20/12/2025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</si>
</sst>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0">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4">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9" fontId="15" fillId="0" borderId="2" xfId="0" applyNumberFormat="1" applyFont="1" applyBorder="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9" fillId="2" borderId="2" xfId="0" applyNumberFormat="1"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6" fillId="0" borderId="12" xfId="0" applyNumberFormat="1" applyFont="1" applyBorder="1" applyAlignment="1">
      <alignment horizontal="center" vertical="center" wrapText="1"/>
    </xf>
    <xf numFmtId="4" fontId="16" fillId="0" borderId="13" xfId="0" applyNumberFormat="1" applyFont="1" applyBorder="1" applyAlignment="1">
      <alignment horizontal="center" vertical="center" wrapText="1"/>
    </xf>
    <xf numFmtId="164" fontId="19" fillId="2" borderId="6" xfId="0" applyNumberFormat="1" applyFont="1" applyFill="1" applyBorder="1" applyAlignment="1">
      <alignment horizontal="center" vertical="center" wrapText="1"/>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0" fontId="0" fillId="0" borderId="0" xfId="0" applyBorder="1">
      <alignmen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0" fontId="6" fillId="0" borderId="2" xfId="0" applyFont="1" applyBorder="1" applyAlignment="1">
      <alignment horizontal="center" vertical="center"/>
    </xf>
    <xf numFmtId="0" fontId="0" fillId="0" borderId="4" xfId="0" applyBorder="1" applyAlignment="1"/>
    <xf numFmtId="0" fontId="0" fillId="0" borderId="3" xfId="0" applyBorder="1" applyAlignment="1"/>
    <xf numFmtId="4" fontId="16" fillId="0" borderId="13" xfId="0" applyNumberFormat="1" applyFont="1" applyBorder="1" applyAlignment="1">
      <alignment horizontal="center" vertical="center" wrapText="1"/>
    </xf>
    <xf numFmtId="0" fontId="0" fillId="0" borderId="14" xfId="0" applyBorder="1" applyAlignment="1"/>
    <xf numFmtId="167" fontId="2" fillId="0" borderId="2" xfId="0" applyNumberFormat="1" applyFont="1" applyBorder="1" applyAlignment="1">
      <alignment horizontal="center" vertical="center" wrapText="1" readingOrder="1"/>
    </xf>
    <xf numFmtId="49" fontId="5" fillId="0" borderId="2" xfId="0" applyNumberFormat="1" applyFont="1" applyBorder="1" applyAlignment="1">
      <alignment horizontal="center" vertical="center" wrapText="1"/>
    </xf>
    <xf numFmtId="4" fontId="19" fillId="2" borderId="5"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49" fontId="12" fillId="0" borderId="1" xfId="0" applyNumberFormat="1" applyFont="1" applyAlignment="1">
      <alignment horizontal="center" vertical="center" wrapText="1" readingOrder="1"/>
    </xf>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10" xfId="0" applyNumberFormat="1" applyFont="1" applyBorder="1" applyAlignment="1">
      <alignment horizontal="center" vertical="center" wrapText="1"/>
    </xf>
    <xf numFmtId="0" fontId="0" fillId="0" borderId="11" xfId="0" applyBorder="1" applyAlignment="1"/>
    <xf numFmtId="0" fontId="6" fillId="0" borderId="8" xfId="0" applyFont="1" applyBorder="1" applyAlignment="1">
      <alignment horizontal="center" vertical="center"/>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zoomScale="70" zoomScaleNormal="70" workbookViewId="0">
      <selection activeCell="D7" sqref="D7"/>
    </sheetView>
  </sheetViews>
  <sheetFormatPr baseColWidth="10" defaultColWidth="41.6640625" defaultRowHeight="21.5" customHeight="1"/>
  <cols>
    <col min="1" max="1" width="0.83203125" customWidth="1"/>
    <col min="2" max="2" width="18" customWidth="1"/>
    <col min="3" max="3" width="23.6640625" style="20"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29" t="s">
        <v>41</v>
      </c>
      <c r="E1" s="29"/>
      <c r="F1" s="29"/>
      <c r="G1" s="30" t="s">
        <v>5</v>
      </c>
      <c r="H1" s="31"/>
      <c r="I1" s="19"/>
    </row>
    <row r="2" spans="2:13" ht="26" customHeight="1">
      <c r="B2" s="15" t="s">
        <v>0</v>
      </c>
      <c r="C2" s="15" t="s">
        <v>1</v>
      </c>
      <c r="D2" s="15" t="s">
        <v>2</v>
      </c>
      <c r="E2" s="15" t="s">
        <v>3</v>
      </c>
      <c r="F2" s="15" t="s">
        <v>4</v>
      </c>
      <c r="G2" s="15" t="s">
        <v>39</v>
      </c>
      <c r="H2" s="15" t="s">
        <v>38</v>
      </c>
    </row>
    <row r="3" spans="2:13" s="3" customFormat="1" ht="67" customHeight="1">
      <c r="B3" s="9" t="s">
        <v>6</v>
      </c>
      <c r="C3" s="17" t="s">
        <v>7</v>
      </c>
      <c r="D3" s="11">
        <v>802667720</v>
      </c>
      <c r="E3" s="10" t="s">
        <v>8</v>
      </c>
      <c r="F3" s="10" t="s">
        <v>9</v>
      </c>
      <c r="G3" s="10" t="s">
        <v>10</v>
      </c>
      <c r="H3" s="10" t="s">
        <v>11</v>
      </c>
      <c r="I3" s="2"/>
      <c r="J3" s="2"/>
      <c r="K3" s="2"/>
      <c r="L3" s="2"/>
      <c r="M3" s="2"/>
    </row>
    <row r="4" spans="2:13" ht="39" customHeight="1">
      <c r="B4" s="16" t="s">
        <v>12</v>
      </c>
      <c r="C4" s="16" t="s">
        <v>13</v>
      </c>
      <c r="D4" s="32" t="s">
        <v>14</v>
      </c>
      <c r="E4" s="32"/>
      <c r="F4" s="32"/>
      <c r="G4" s="48" t="s">
        <v>15</v>
      </c>
      <c r="H4" s="34"/>
    </row>
    <row r="5" spans="2:13" s="3" customFormat="1" ht="37" customHeight="1">
      <c r="B5" s="10" t="s">
        <v>42</v>
      </c>
      <c r="C5" s="10" t="s">
        <v>37</v>
      </c>
      <c r="D5" s="35" t="s">
        <v>43</v>
      </c>
      <c r="E5" s="36"/>
      <c r="F5" s="37"/>
      <c r="G5" s="43">
        <f>H27</f>
        <v>17254.598108640002</v>
      </c>
      <c r="H5" s="40"/>
      <c r="I5" s="2"/>
      <c r="J5" s="2"/>
      <c r="K5" s="2"/>
      <c r="L5" s="2"/>
      <c r="M5" s="2"/>
    </row>
    <row r="6" spans="2:13" ht="43.25" customHeight="1" thickBot="1">
      <c r="B6" s="4"/>
      <c r="C6" s="53" t="s">
        <v>40</v>
      </c>
      <c r="D6" s="53"/>
      <c r="E6" s="53"/>
      <c r="F6" s="53"/>
      <c r="G6" s="53"/>
      <c r="H6" s="53"/>
    </row>
    <row r="7" spans="2:13" s="5" customFormat="1" ht="53" customHeight="1">
      <c r="C7" s="22" t="s">
        <v>16</v>
      </c>
      <c r="D7" s="23" t="s">
        <v>17</v>
      </c>
      <c r="E7" s="23" t="s">
        <v>18</v>
      </c>
      <c r="F7" s="23" t="s">
        <v>19</v>
      </c>
      <c r="G7" s="51" t="s">
        <v>20</v>
      </c>
      <c r="H7" s="52"/>
      <c r="I7" s="49"/>
      <c r="J7" s="50"/>
      <c r="K7" s="50"/>
      <c r="L7" s="50"/>
      <c r="M7" s="50"/>
    </row>
    <row r="8" spans="2:13" ht="31.75" customHeight="1">
      <c r="C8" s="26" t="s">
        <v>44</v>
      </c>
      <c r="D8" s="21">
        <v>23518.95</v>
      </c>
      <c r="E8" s="21">
        <v>2320.7396124000002</v>
      </c>
      <c r="F8" s="21">
        <v>5.88</v>
      </c>
      <c r="G8" s="45">
        <v>98.68</v>
      </c>
      <c r="H8" s="46"/>
    </row>
    <row r="9" spans="2:13" ht="30" customHeight="1">
      <c r="C9" s="26" t="s">
        <v>45</v>
      </c>
      <c r="D9" s="21">
        <v>19370.849999999999</v>
      </c>
      <c r="E9" s="21">
        <v>2010.9524048999999</v>
      </c>
      <c r="F9" s="21">
        <v>4.84</v>
      </c>
      <c r="G9" s="45">
        <v>103.81</v>
      </c>
      <c r="H9" s="46"/>
    </row>
    <row r="10" spans="2:13" ht="28.5" customHeight="1">
      <c r="C10" s="26" t="s">
        <v>46</v>
      </c>
      <c r="D10" s="21">
        <v>23518.05</v>
      </c>
      <c r="E10" s="21">
        <v>2495.7090840000001</v>
      </c>
      <c r="F10" s="21">
        <v>5.88</v>
      </c>
      <c r="G10" s="45">
        <v>106.12</v>
      </c>
      <c r="H10" s="46"/>
    </row>
    <row r="11" spans="2:13" ht="28.5" customHeight="1">
      <c r="C11" s="26" t="s">
        <v>47</v>
      </c>
      <c r="D11" s="21">
        <v>23512.83</v>
      </c>
      <c r="E11" s="21">
        <v>2260.9009025999999</v>
      </c>
      <c r="F11" s="21">
        <v>5.88</v>
      </c>
      <c r="G11" s="45">
        <v>96.16</v>
      </c>
      <c r="H11" s="46"/>
    </row>
    <row r="12" spans="2:13" ht="28.5" customHeight="1">
      <c r="C12" s="26" t="s">
        <v>48</v>
      </c>
      <c r="D12" s="21">
        <v>23522.22</v>
      </c>
      <c r="E12" s="21">
        <v>2579.300874</v>
      </c>
      <c r="F12" s="21">
        <v>5.88</v>
      </c>
      <c r="G12" s="45">
        <v>109.65</v>
      </c>
      <c r="H12" s="46"/>
    </row>
    <row r="13" spans="2:13" ht="28.5" customHeight="1">
      <c r="C13" s="26" t="s">
        <v>49</v>
      </c>
      <c r="D13" s="21">
        <v>23518.83</v>
      </c>
      <c r="E13" s="21">
        <v>2385.9454529999998</v>
      </c>
      <c r="F13" s="21">
        <v>5.88</v>
      </c>
      <c r="G13" s="45">
        <v>101.45</v>
      </c>
      <c r="H13" s="46"/>
    </row>
    <row r="14" spans="2:13" ht="28.5" customHeight="1">
      <c r="C14" s="26" t="s">
        <v>50</v>
      </c>
      <c r="D14" s="21">
        <v>23520.48</v>
      </c>
      <c r="E14" s="21">
        <v>2224.3744130999999</v>
      </c>
      <c r="F14" s="21">
        <v>5.88</v>
      </c>
      <c r="G14" s="45">
        <v>94.57</v>
      </c>
      <c r="H14" s="46"/>
    </row>
    <row r="15" spans="2:13" ht="57" customHeight="1" thickBot="1">
      <c r="C15" s="24" t="s">
        <v>21</v>
      </c>
      <c r="D15" s="25">
        <f>SUM(D8:D14)</f>
        <v>160482.21000000002</v>
      </c>
      <c r="E15" s="25">
        <f>SUM(E8:E14)</f>
        <v>16277.922744000001</v>
      </c>
      <c r="F15" s="25">
        <f>SUM(F8:F14)</f>
        <v>40.119999999999997</v>
      </c>
      <c r="G15" s="41">
        <f>GEOMEAN(G8:H14)</f>
        <v>101.36693162470068</v>
      </c>
      <c r="H15" s="42"/>
    </row>
    <row r="16" spans="2:13" ht="28.75" customHeight="1"/>
    <row r="17" spans="2:8" ht="34" customHeight="1">
      <c r="B17" s="38" t="s">
        <v>22</v>
      </c>
      <c r="C17" s="39"/>
      <c r="D17" s="40"/>
      <c r="E17" s="6"/>
      <c r="F17" s="38" t="s">
        <v>23</v>
      </c>
      <c r="G17" s="39"/>
      <c r="H17" s="40"/>
    </row>
    <row r="18" spans="2:8" ht="55" customHeight="1">
      <c r="B18" s="44" t="s">
        <v>24</v>
      </c>
      <c r="C18" s="40"/>
      <c r="D18" s="12">
        <v>0.25</v>
      </c>
      <c r="F18" s="44" t="s">
        <v>25</v>
      </c>
      <c r="G18" s="40"/>
      <c r="H18" s="18">
        <v>160.47999999999999</v>
      </c>
    </row>
    <row r="19" spans="2:8" ht="52" customHeight="1">
      <c r="B19" s="44" t="s">
        <v>26</v>
      </c>
      <c r="C19" s="40"/>
      <c r="D19" s="18">
        <f>F15</f>
        <v>40.119999999999997</v>
      </c>
      <c r="F19" s="44" t="s">
        <v>27</v>
      </c>
      <c r="G19" s="40"/>
      <c r="H19" s="18">
        <f>E15</f>
        <v>16277.922744000001</v>
      </c>
    </row>
    <row r="20" spans="2:8" ht="30" customHeight="1">
      <c r="F20" s="44" t="s">
        <v>28</v>
      </c>
      <c r="G20" s="40"/>
      <c r="H20" s="13">
        <f>H19*6%</f>
        <v>976.67536464</v>
      </c>
    </row>
    <row r="21" spans="2:8" ht="29.75" customHeight="1">
      <c r="F21" s="44" t="s">
        <v>29</v>
      </c>
      <c r="G21" s="40"/>
      <c r="H21" s="13">
        <f>-(D19*1.24)</f>
        <v>-49.748799999999996</v>
      </c>
    </row>
    <row r="22" spans="2:8" ht="30" customHeight="1">
      <c r="F22" s="44" t="s">
        <v>30</v>
      </c>
      <c r="G22" s="40"/>
      <c r="H22" s="14">
        <f>H19+H20+H21</f>
        <v>17204.849308640001</v>
      </c>
    </row>
    <row r="23" spans="2:8" ht="21.5" customHeight="1">
      <c r="B23" s="38" t="s">
        <v>31</v>
      </c>
      <c r="C23" s="39"/>
      <c r="D23" s="40"/>
    </row>
    <row r="24" spans="2:8" ht="36" customHeight="1">
      <c r="B24" s="7" t="s">
        <v>32</v>
      </c>
      <c r="C24" s="47" t="s">
        <v>33</v>
      </c>
      <c r="D24" s="40"/>
      <c r="F24" s="38" t="s">
        <v>34</v>
      </c>
      <c r="G24" s="39"/>
      <c r="H24" s="40"/>
    </row>
    <row r="25" spans="2:8" ht="25.25" customHeight="1">
      <c r="B25" s="8" t="s">
        <v>12</v>
      </c>
      <c r="C25" s="27" t="s">
        <v>51</v>
      </c>
      <c r="D25" s="28"/>
      <c r="F25" s="44" t="s">
        <v>27</v>
      </c>
      <c r="G25" s="40"/>
      <c r="H25" s="13">
        <f>H19</f>
        <v>16277.922744000001</v>
      </c>
    </row>
    <row r="26" spans="2:8" ht="28.5" customHeight="1">
      <c r="F26" s="44" t="s">
        <v>28</v>
      </c>
      <c r="G26" s="40"/>
      <c r="H26" s="13">
        <f>H25*6%</f>
        <v>976.67536464</v>
      </c>
    </row>
    <row r="27" spans="2:8" ht="28.5" customHeight="1">
      <c r="F27" s="44" t="s">
        <v>35</v>
      </c>
      <c r="G27" s="40"/>
      <c r="H27" s="13">
        <f>H25+H26</f>
        <v>17254.598108640002</v>
      </c>
    </row>
    <row r="28" spans="2:8" ht="28.75" customHeight="1"/>
    <row r="29" spans="2:8" ht="38.25" customHeight="1">
      <c r="B29" s="33" t="s">
        <v>36</v>
      </c>
      <c r="C29" s="34"/>
      <c r="D29" s="34"/>
      <c r="E29" s="34"/>
      <c r="F29" s="34"/>
      <c r="G29" s="34"/>
      <c r="H29" s="34"/>
    </row>
    <row r="30" spans="2:8" ht="39" customHeight="1">
      <c r="B30" s="34"/>
      <c r="C30" s="34"/>
      <c r="D30" s="34"/>
      <c r="E30" s="34"/>
      <c r="F30" s="34"/>
      <c r="G30" s="34"/>
      <c r="H30" s="34"/>
    </row>
    <row r="31" spans="2:8" ht="28.75" customHeight="1"/>
    <row r="33" ht="28.75" customHeight="1"/>
    <row r="35" ht="36" customHeight="1"/>
    <row r="36" ht="28.5" customHeight="1"/>
    <row r="37" ht="28.5" customHeight="1"/>
    <row r="38" ht="28.5" customHeight="1"/>
  </sheetData>
  <mergeCells count="34">
    <mergeCell ref="G4:H4"/>
    <mergeCell ref="B19:C19"/>
    <mergeCell ref="I7:M7"/>
    <mergeCell ref="G7:H7"/>
    <mergeCell ref="G10:H10"/>
    <mergeCell ref="G13:H13"/>
    <mergeCell ref="G9:H9"/>
    <mergeCell ref="G12:H12"/>
    <mergeCell ref="F17:H17"/>
    <mergeCell ref="G11:H11"/>
    <mergeCell ref="G8:H8"/>
    <mergeCell ref="C6:H6"/>
    <mergeCell ref="F21:G21"/>
    <mergeCell ref="F18:G18"/>
    <mergeCell ref="F26:G26"/>
    <mergeCell ref="F24:H24"/>
    <mergeCell ref="F25:G25"/>
    <mergeCell ref="F20:G20"/>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2025-12-19T13:23:10Z</cp:lastPrinted>
  <dcterms:created xsi:type="dcterms:W3CDTF">2025-03-17T17:41:17Z</dcterms:created>
  <dcterms:modified xsi:type="dcterms:W3CDTF">2025-12-19T13:23:43Z</dcterms:modified>
</cp:coreProperties>
</file>