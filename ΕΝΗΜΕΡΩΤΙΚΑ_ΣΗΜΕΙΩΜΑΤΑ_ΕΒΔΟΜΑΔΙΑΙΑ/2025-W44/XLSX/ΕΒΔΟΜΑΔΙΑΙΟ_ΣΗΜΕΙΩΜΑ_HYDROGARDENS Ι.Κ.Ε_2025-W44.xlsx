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kellabournaka/Documents/Enimerwtika simeiwmata weekly/ΕΝΗΜΕΡΩΤΙΚΑ_ΣΗΜΕΙΩΜΑΤΑ_ΕΒΔΟΜΑΔΙΑΙΑ/2025-W44/XLSX/"/>
    </mc:Choice>
  </mc:AlternateContent>
  <xr:revisionPtr revIDLastSave="0" documentId="13_ncr:1_{50E347DC-FBEF-3849-A92A-8717BB1FDBD9}" xr6:coauthVersionLast="47" xr6:coauthVersionMax="47" xr10:uidLastSave="{00000000-0000-0000-0000-000000000000}"/>
  <bookViews>
    <workbookView xWindow="0" yWindow="760" windowWidth="15600" windowHeight="17280" xr2:uid="{00000000-000D-0000-FFFF-FFFF00000000}"/>
  </bookViews>
  <sheets>
    <sheet name="Energy Production" sheetId="1" r:id="rId1"/>
    <sheet name="Sheet1" sheetId="2" r:id="rId2"/>
  </sheets>
  <definedNames>
    <definedName name="_xlnm.Print_Area" localSheetId="0">'Energy Production'!$A$1:$H$31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98" i="2" l="1"/>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2" i="2"/>
  <c r="W98" i="2"/>
  <c r="X98" i="2"/>
  <c r="Y98" i="2"/>
  <c r="Z98"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2" i="2"/>
  <c r="P98" i="2"/>
  <c r="Q98" i="2"/>
  <c r="R98" i="2"/>
  <c r="S98" i="2"/>
  <c r="T98" i="2"/>
  <c r="U98" i="2"/>
  <c r="V98" i="2"/>
  <c r="N98" i="2"/>
  <c r="O98" i="2"/>
  <c r="M98" i="2"/>
  <c r="I98" i="2"/>
  <c r="K98"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O2" i="2"/>
  <c r="K2" i="2"/>
  <c r="E98" i="2"/>
  <c r="G98"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2" i="2"/>
  <c r="A98" i="2"/>
  <c r="C98"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2" i="2"/>
  <c r="D19" i="1"/>
  <c r="H21" i="1" s="1"/>
  <c r="G15" i="1"/>
  <c r="E15" i="1"/>
  <c r="H19" i="1" s="1"/>
  <c r="D15" i="1"/>
  <c r="F15" i="1"/>
  <c r="H20" i="1" l="1"/>
  <c r="H22" i="1" s="1"/>
  <c r="H25" i="1"/>
  <c r="H26" i="1" s="1"/>
  <c r="H27" i="1" s="1"/>
  <c r="G5" i="1" s="1"/>
</calcChain>
</file>

<file path=xl/sharedStrings.xml><?xml version="1.0" encoding="utf-8"?>
<sst xmlns="http://schemas.openxmlformats.org/spreadsheetml/2006/main" count="57" uniqueCount="53">
  <si>
    <t>Α.Μ. ΑΠΕ</t>
  </si>
  <si>
    <t>Εταιρεία</t>
  </si>
  <si>
    <t>ΑΦΜ</t>
  </si>
  <si>
    <t>ΔΟΥ</t>
  </si>
  <si>
    <t>Διεύθυνση</t>
  </si>
  <si>
    <t>Φορέας Σωρευτικής Εκπροσώπησης ΑΠΕ (Φο.Σ.Ε.)
Διεύθυνση: Φιλοπάππου 19, Αθήνα 11741, Ελλάδα 
ΑΦΜ: 801961185 ,  ΓΕΜΗ: 167104201000           ΔΟΥ:ΦΑΕ Αθηνών , Email: info@greenvalue.gr</t>
  </si>
  <si>
    <t>522SH70212</t>
  </si>
  <si>
    <t>HYDROGARDENS Ι.Κ.Ε</t>
  </si>
  <si>
    <t>ΚΑΛΑΜΑΡΙΑΣ</t>
  </si>
  <si>
    <t>ΑΓΡΟΤΕΜΑΧΙΟ 533, ΕΠΑΝΟΜΗ ΘΕΡΜΗΣ</t>
  </si>
  <si>
    <t>info@pk_energy.gr</t>
  </si>
  <si>
    <t>ΣΗΘΥΑ</t>
  </si>
  <si>
    <t>Ημερομηνία</t>
  </si>
  <si>
    <t>Έκδοση</t>
  </si>
  <si>
    <t xml:space="preserve">Περίοδος Εκκαθάρισης </t>
  </si>
  <si>
    <t>ΣΥΝΟΛΟ ΜΕ ΦΠΑ</t>
  </si>
  <si>
    <t>Ανάλυση Μηνιαίας Εκκαθάρισης Παραγωγής Ενέργειας Σταθμού</t>
  </si>
  <si>
    <t>Περίοδος Εκκαθάρισης</t>
  </si>
  <si>
    <t>Παραγωγή Ενέργειας βάσει μετρήσεων (kWh)</t>
  </si>
  <si>
    <t>Αξία Ενέργειας βάσει μετρήσεων</t>
  </si>
  <si>
    <t>Προμήθεια GREEN VALUE</t>
  </si>
  <si>
    <t>Μεσοσταθμική Τιμή Αγοράς  κατά τις ώρες παραγωγής του σταθμού</t>
  </si>
  <si>
    <t>Σύνολο Εβδομάδας</t>
  </si>
  <si>
    <t>Ανάλυση Χρεώσεων και Υπηρεσίων ΦοΣΕ</t>
  </si>
  <si>
    <t>Υπολογισμός προς καταβολή</t>
  </si>
  <si>
    <t>Μοναδιαία Χρέωση ΦοΣΕ</t>
  </si>
  <si>
    <t>Παραγωγή Ενέργειας βάσει Μετρήσεων (ΜWh)</t>
  </si>
  <si>
    <t>Σύνολο</t>
  </si>
  <si>
    <t>Αξία Ενέργειας βάσει Μετρήσεων</t>
  </si>
  <si>
    <t>ΦΠΑ (6%)</t>
  </si>
  <si>
    <t>Χρέωση ΦοΣΕ με ΦΠΑ (24%)</t>
  </si>
  <si>
    <t xml:space="preserve">Συνολικό Ποσό προς καταβολή </t>
  </si>
  <si>
    <t>Στοιχεία Τράπεζας</t>
  </si>
  <si>
    <t>ΙΒΑΝ</t>
  </si>
  <si>
    <t>GR8601105060000050600510049</t>
  </si>
  <si>
    <t>Υπολογισμός Τιμολόγησης</t>
  </si>
  <si>
    <t xml:space="preserve">ΓΕΝΙΚΟ ΣΥΝΟΛΟ </t>
  </si>
  <si>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ώρα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</si>
  <si>
    <t>Αρχική</t>
  </si>
  <si>
    <t>Τεχνολογία</t>
  </si>
  <si>
    <t>Email</t>
  </si>
  <si>
    <t>17/11/2025</t>
  </si>
  <si>
    <t>03/11/25-09/11/25</t>
  </si>
  <si>
    <t>03/11/25</t>
  </si>
  <si>
    <t>04/11/25</t>
  </si>
  <si>
    <t>05/11/25</t>
  </si>
  <si>
    <t>06/11/25</t>
  </si>
  <si>
    <t>07/11/25</t>
  </si>
  <si>
    <t>08/11/25</t>
  </si>
  <si>
    <t>09/11/25</t>
  </si>
  <si>
    <t>Ενημερωτικό Σημείωμα Εβδομάδας 03/11/25–09/11/25</t>
  </si>
  <si>
    <t>dam 00:00-23:45</t>
  </si>
  <si>
    <t>productio 00:15-00:00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</si>
</sst>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yy"/>
    <numFmt numFmtId="165" formatCode="[$€-2]\ #,##0.00"/>
    <numFmt numFmtId="166" formatCode="#.##&quot; &quot;[$€-2]&quot;/MWh&quot;"/>
    <numFmt numFmtId="167" formatCode="#,##0.00\ &quot;€&quot;"/>
  </numFmts>
  <fonts count="21">
    <font>
      <sz val="10"/>
      <color indexed="8"/>
      <name val="Avenir Next Regular"/>
    </font>
    <font>
      <sz val="15"/>
      <color indexed="10"/>
      <name val="Avenir Next Regular"/>
    </font>
    <font>
      <b/>
      <sz val="15"/>
      <color indexed="10"/>
      <name val="Avenir Next Regular"/>
    </font>
    <font>
      <sz val="9"/>
      <color indexed="8"/>
      <name val="Avenir Next Regular"/>
    </font>
    <font>
      <b/>
      <sz val="18"/>
      <color indexed="8"/>
      <name val="Avenir Next Regular"/>
    </font>
    <font>
      <sz val="15"/>
      <color indexed="8"/>
      <name val="Avenir Next Regular"/>
    </font>
    <font>
      <b/>
      <sz val="16"/>
      <color indexed="8"/>
      <name val="Avenir Next Regular"/>
    </font>
    <font>
      <b/>
      <sz val="15"/>
      <color indexed="8"/>
      <name val="Avenir Next Regular"/>
    </font>
    <font>
      <sz val="16"/>
      <color indexed="8"/>
      <name val="Avenir Next Regular"/>
    </font>
    <font>
      <sz val="14"/>
      <color indexed="8"/>
      <name val="Avenir Next Regular"/>
    </font>
    <font>
      <b/>
      <sz val="9"/>
      <color indexed="8"/>
      <name val="Avenir Next Regular"/>
      <charset val="161"/>
    </font>
    <font>
      <b/>
      <sz val="9"/>
      <name val="Avenir Next Demi Bold"/>
      <family val="2"/>
    </font>
    <font>
      <b/>
      <sz val="16"/>
      <name val="Arial"/>
      <family val="2"/>
      <charset val="161"/>
    </font>
    <font>
      <b/>
      <sz val="16"/>
      <name val="Avenir Next Regular"/>
    </font>
    <font>
      <sz val="10"/>
      <name val="Avenir Next Regular"/>
    </font>
    <font>
      <sz val="13"/>
      <name val="Avenir Next Regular"/>
    </font>
    <font>
      <b/>
      <sz val="15"/>
      <name val="Avenir Next Regular"/>
    </font>
    <font>
      <b/>
      <sz val="14"/>
      <name val="Avenir Next Regular"/>
    </font>
    <font>
      <i/>
      <sz val="12"/>
      <name val="Avenir Next Regular"/>
    </font>
    <font>
      <sz val="15"/>
      <color indexed="8"/>
      <name val="Century Gothic"/>
      <family val="1"/>
    </font>
    <font>
      <sz val="10"/>
      <color rgb="FF000000"/>
      <name val="Helvetica Neue"/>
      <family val="2"/>
    </font>
  </fonts>
  <fills count="3">
    <fill>
      <patternFill patternType="none"/>
    </fill>
    <fill>
      <patternFill patternType="gray125"/>
    </fill>
    <fill>
      <patternFill patternType="solid">
        <fgColor theme="0"/>
        <bgColor indexed="64"/>
      </patternFill>
    </fill>
  </fills>
  <borders count="6">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1">
      <alignment vertical="top" wrapText="1"/>
    </xf>
  </cellStyleXfs>
  <cellXfs count="54">
    <xf numFmtId="0" fontId="0" fillId="0" borderId="0" xfId="0" applyBorder="1">
      <alignment vertical="top" wrapText="1"/>
    </xf>
    <xf numFmtId="0" fontId="3" fillId="0" borderId="0" xfId="0" applyFont="1" applyBorder="1">
      <alignment vertical="top" wrapText="1"/>
    </xf>
    <xf numFmtId="0" fontId="3" fillId="0" borderId="0" xfId="0" applyFont="1" applyBorder="1" applyAlignment="1">
      <alignment horizontal="center" vertical="center" wrapText="1"/>
    </xf>
    <xf numFmtId="0" fontId="0" fillId="0" borderId="0" xfId="0" applyBorder="1" applyAlignment="1">
      <alignment horizontal="center" vertical="center" wrapText="1"/>
    </xf>
    <xf numFmtId="0" fontId="4" fillId="0" borderId="1" xfId="0" applyFont="1" applyAlignment="1">
      <alignment vertical="center"/>
    </xf>
    <xf numFmtId="0" fontId="10" fillId="0" borderId="0" xfId="0" applyFont="1" applyBorder="1" applyAlignment="1">
      <alignment horizontal="center" vertical="center" wrapText="1"/>
    </xf>
    <xf numFmtId="4" fontId="5" fillId="0" borderId="2" xfId="0" applyNumberFormat="1" applyFont="1" applyBorder="1" applyAlignment="1">
      <alignment horizontal="center" vertical="center" wrapText="1"/>
    </xf>
    <xf numFmtId="0" fontId="6" fillId="0" borderId="1" xfId="0" applyFont="1" applyAlignment="1">
      <alignment vertical="center"/>
    </xf>
    <xf numFmtId="49" fontId="5" fillId="0" borderId="2" xfId="0" applyNumberFormat="1" applyFont="1" applyBorder="1" applyAlignment="1">
      <alignment vertical="center" wrapText="1"/>
    </xf>
    <xf numFmtId="49" fontId="8" fillId="0" borderId="2" xfId="0" applyNumberFormat="1" applyFont="1" applyBorder="1">
      <alignment vertical="top" wrapText="1"/>
    </xf>
    <xf numFmtId="49" fontId="1" fillId="0" borderId="2" xfId="0" applyNumberFormat="1" applyFont="1" applyBorder="1" applyAlignment="1">
      <alignment horizontal="center" vertical="center" wrapText="1"/>
    </xf>
    <xf numFmtId="49" fontId="1" fillId="0" borderId="2" xfId="0" applyNumberFormat="1" applyFont="1" applyBorder="1" applyAlignment="1">
      <alignment horizontal="center" vertical="center" wrapText="1" readingOrder="1"/>
    </xf>
    <xf numFmtId="0" fontId="1" fillId="0" borderId="2" xfId="0" applyFont="1" applyBorder="1" applyAlignment="1">
      <alignment horizontal="center" vertical="center" wrapText="1" readingOrder="1"/>
    </xf>
    <xf numFmtId="166" fontId="5" fillId="0" borderId="2" xfId="0" applyNumberFormat="1" applyFont="1" applyBorder="1" applyAlignment="1">
      <alignment vertical="center" wrapText="1"/>
    </xf>
    <xf numFmtId="165" fontId="5" fillId="0" borderId="2" xfId="0" applyNumberFormat="1" applyFont="1" applyBorder="1" applyAlignment="1">
      <alignment vertical="center" wrapText="1"/>
    </xf>
    <xf numFmtId="165" fontId="7" fillId="0" borderId="2" xfId="0" applyNumberFormat="1" applyFont="1" applyBorder="1" applyAlignment="1">
      <alignment vertical="center" wrapText="1"/>
    </xf>
    <xf numFmtId="49" fontId="11" fillId="0" borderId="2" xfId="0" applyNumberFormat="1" applyFont="1" applyBorder="1" applyAlignment="1">
      <alignment horizontal="center" vertical="center" wrapText="1"/>
    </xf>
    <xf numFmtId="49" fontId="12" fillId="0" borderId="1" xfId="0" applyNumberFormat="1" applyFont="1" applyAlignment="1">
      <alignment horizontal="center" vertical="top" wrapText="1" readingOrder="1"/>
    </xf>
    <xf numFmtId="49" fontId="12" fillId="0" borderId="1" xfId="0" applyNumberFormat="1" applyFont="1" applyAlignment="1">
      <alignment horizontal="center" vertical="center" wrapText="1" readingOrder="1"/>
    </xf>
    <xf numFmtId="0" fontId="6" fillId="0" borderId="1" xfId="0" applyFont="1" applyAlignment="1">
      <alignment horizontal="center" vertical="center"/>
    </xf>
    <xf numFmtId="49" fontId="15" fillId="0" borderId="2" xfId="0" applyNumberFormat="1" applyFont="1" applyBorder="1" applyAlignment="1">
      <alignment horizontal="center" vertical="center" wrapText="1" readingOrder="1"/>
    </xf>
    <xf numFmtId="4" fontId="16" fillId="0" borderId="2" xfId="0" applyNumberFormat="1" applyFont="1" applyBorder="1" applyAlignment="1">
      <alignment horizontal="center" vertical="center" wrapText="1"/>
    </xf>
    <xf numFmtId="4" fontId="5" fillId="0" borderId="2" xfId="0" applyNumberFormat="1" applyFont="1" applyBorder="1" applyAlignment="1">
      <alignment vertical="center" wrapText="1"/>
    </xf>
    <xf numFmtId="49" fontId="5" fillId="0" borderId="2" xfId="0" applyNumberFormat="1" applyFont="1" applyBorder="1" applyAlignment="1">
      <alignment horizontal="center" vertical="center" wrapText="1"/>
    </xf>
    <xf numFmtId="49" fontId="14" fillId="0" borderId="1" xfId="0" applyNumberFormat="1" applyFont="1">
      <alignment vertical="top" wrapText="1"/>
    </xf>
    <xf numFmtId="49" fontId="8" fillId="0" borderId="2" xfId="0" applyNumberFormat="1" applyFont="1" applyBorder="1" applyAlignment="1">
      <alignment horizontal="center" vertical="center" wrapText="1"/>
    </xf>
    <xf numFmtId="49" fontId="0" fillId="0" borderId="3" xfId="0" applyNumberFormat="1" applyBorder="1" applyAlignment="1"/>
    <xf numFmtId="0" fontId="13" fillId="0" borderId="1" xfId="0" applyFont="1" applyAlignment="1">
      <alignment horizontal="center" vertical="center" wrapText="1"/>
    </xf>
    <xf numFmtId="49" fontId="18" fillId="0" borderId="1" xfId="0" applyNumberFormat="1" applyFont="1" applyAlignment="1">
      <alignment horizontal="right" vertical="top" wrapText="1"/>
    </xf>
    <xf numFmtId="49" fontId="14" fillId="0" borderId="1" xfId="0" applyNumberFormat="1" applyFont="1" applyAlignment="1">
      <alignment horizontal="right" vertical="top" wrapText="1"/>
    </xf>
    <xf numFmtId="49" fontId="12" fillId="0" borderId="4" xfId="0" applyNumberFormat="1" applyFont="1" applyBorder="1" applyAlignment="1">
      <alignment horizontal="center" vertical="center" wrapText="1" readingOrder="1"/>
    </xf>
    <xf numFmtId="0" fontId="9" fillId="0" borderId="1" xfId="0" applyFont="1" applyAlignment="1">
      <alignment horizontal="left" vertical="top" wrapText="1"/>
    </xf>
    <xf numFmtId="0" fontId="0" fillId="0" borderId="0" xfId="0" applyBorder="1">
      <alignment vertical="top" wrapText="1"/>
    </xf>
    <xf numFmtId="164" fontId="2" fillId="0" borderId="2" xfId="0" applyNumberFormat="1" applyFont="1" applyBorder="1" applyAlignment="1">
      <alignment horizontal="center" vertical="center"/>
    </xf>
    <xf numFmtId="0" fontId="0" fillId="0" borderId="4" xfId="0" applyBorder="1" applyAlignment="1">
      <alignment vertical="center"/>
    </xf>
    <xf numFmtId="0" fontId="0" fillId="0" borderId="3" xfId="0" applyBorder="1" applyAlignment="1">
      <alignment vertical="center"/>
    </xf>
    <xf numFmtId="0" fontId="6" fillId="0" borderId="2" xfId="0" applyFont="1" applyBorder="1" applyAlignment="1">
      <alignment horizontal="center" vertical="center"/>
    </xf>
    <xf numFmtId="0" fontId="0" fillId="0" borderId="4" xfId="0" applyBorder="1" applyAlignment="1"/>
    <xf numFmtId="0" fontId="0" fillId="0" borderId="3" xfId="0" applyBorder="1" applyAlignment="1"/>
    <xf numFmtId="4" fontId="16" fillId="0" borderId="2" xfId="0" applyNumberFormat="1" applyFont="1" applyBorder="1" applyAlignment="1">
      <alignment horizontal="center" vertical="center" wrapText="1"/>
    </xf>
    <xf numFmtId="167" fontId="2" fillId="0" borderId="2" xfId="0" applyNumberFormat="1" applyFont="1" applyBorder="1" applyAlignment="1">
      <alignment horizontal="center" vertical="center" wrapText="1" readingOrder="1"/>
    </xf>
    <xf numFmtId="49" fontId="5" fillId="0" borderId="2" xfId="0" applyNumberFormat="1" applyFont="1" applyBorder="1" applyAlignment="1">
      <alignment horizontal="center" vertical="center" wrapText="1"/>
    </xf>
    <xf numFmtId="4" fontId="5" fillId="0" borderId="2" xfId="0" applyNumberFormat="1" applyFont="1" applyBorder="1" applyAlignment="1">
      <alignment horizontal="center" vertical="center" wrapText="1"/>
    </xf>
    <xf numFmtId="49" fontId="17" fillId="0" borderId="2" xfId="0" applyNumberFormat="1" applyFont="1" applyBorder="1" applyAlignment="1">
      <alignment horizontal="center" vertical="center" wrapText="1"/>
    </xf>
    <xf numFmtId="0" fontId="10" fillId="0" borderId="1" xfId="0" applyFont="1" applyAlignment="1">
      <alignment horizontal="center" vertical="center"/>
    </xf>
    <xf numFmtId="0" fontId="10" fillId="0" borderId="0" xfId="0" applyFont="1" applyBorder="1" applyAlignment="1">
      <alignment horizontal="center" vertical="center" wrapText="1"/>
    </xf>
    <xf numFmtId="49" fontId="11" fillId="0" borderId="2" xfId="0" applyNumberFormat="1" applyFont="1" applyBorder="1" applyAlignment="1">
      <alignment horizontal="center" vertical="center" wrapText="1"/>
    </xf>
    <xf numFmtId="49" fontId="12" fillId="0" borderId="1" xfId="0" applyNumberFormat="1" applyFont="1" applyAlignment="1">
      <alignment horizontal="center" vertical="center" wrapText="1" readingOrder="1"/>
    </xf>
    <xf numFmtId="49" fontId="0" fillId="0" borderId="0" xfId="0" applyNumberFormat="1" applyBorder="1">
      <alignment vertical="top" wrapText="1"/>
    </xf>
    <xf numFmtId="49" fontId="16" fillId="0" borderId="2" xfId="0" applyNumberFormat="1" applyFont="1" applyBorder="1" applyAlignment="1">
      <alignment horizontal="center" vertical="center" wrapText="1"/>
    </xf>
    <xf numFmtId="4" fontId="19" fillId="2" borderId="2" xfId="0" applyNumberFormat="1" applyFont="1" applyFill="1" applyBorder="1" applyAlignment="1">
      <alignment horizontal="center" vertical="center" wrapText="1"/>
    </xf>
    <xf numFmtId="4" fontId="5" fillId="0" borderId="5" xfId="0" applyNumberFormat="1" applyFont="1" applyBorder="1" applyAlignment="1">
      <alignment horizontal="center" vertical="center" wrapText="1"/>
    </xf>
    <xf numFmtId="4" fontId="5" fillId="0" borderId="3" xfId="0" applyNumberFormat="1" applyFont="1" applyBorder="1" applyAlignment="1">
      <alignment horizontal="center" vertical="center" wrapText="1"/>
    </xf>
    <xf numFmtId="0" fontId="20" fillId="0" borderId="0" xfId="0" applyFont="1" applyBorder="1">
      <alignment vertical="top" wrapText="1"/>
    </xf>
  </cellXfs>
  <cellStyles count="1">
    <cellStyle name="Normal" xfId="0" builtinId="0"/>
  </cellStyles>
  <dxfs count="17">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xr9:uid="{00000000-0011-0000-FFFF-FFFF00000000}">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10700</xdr:colOff>
      <xdr:row>0</xdr:row>
      <xdr:rowOff>133440</xdr:rowOff>
    </xdr:from>
    <xdr:to>
      <xdr:col>2</xdr:col>
      <xdr:colOff>1469570</xdr:colOff>
      <xdr:row>0</xdr:row>
      <xdr:rowOff>1407893</xdr:rowOff>
    </xdr:to>
    <xdr:pic>
      <xdr:nvPicPr>
        <xdr:cNvPr id="3" name="LOGO.png" descr="LOGO.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83271" y="133440"/>
          <a:ext cx="3055442" cy="1274453"/>
        </a:xfrm>
        <a:prstGeom prst="rect">
          <a:avLst/>
        </a:prstGeom>
        <a:ln w="12700" cap="flat">
          <a:noFill/>
          <a:prstDash val="solid"/>
          <a:miter lim="400000"/>
        </a:ln>
      </xdr:spPr>
    </xdr:pic>
    <xdr:clientData/>
  </xdr:twoCellAnchor>
</xdr: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38"/>
  <sheetViews>
    <sheetView showGridLines="0" tabSelected="1" topLeftCell="A7" zoomScale="70" zoomScaleNormal="70" workbookViewId="0">
      <selection activeCell="E23" sqref="E23"/>
    </sheetView>
  </sheetViews>
  <sheetFormatPr baseColWidth="10" defaultColWidth="41.6640625" defaultRowHeight="21.5" customHeight="1"/>
  <cols>
    <col min="1" max="1" width="0.83203125" customWidth="1"/>
    <col min="2" max="2" width="18" customWidth="1"/>
    <col min="3" max="3" width="23.6640625" style="48" customWidth="1"/>
    <col min="4" max="4" width="19.83203125" customWidth="1"/>
    <col min="5" max="5" width="14.83203125" customWidth="1"/>
    <col min="6" max="6" width="21.6640625" customWidth="1"/>
    <col min="7" max="7" width="31.83203125" customWidth="1"/>
    <col min="8" max="8" width="20.33203125" customWidth="1"/>
    <col min="9" max="9" width="19.6640625" style="1" customWidth="1"/>
    <col min="10" max="10" width="32.6640625" style="1" customWidth="1"/>
    <col min="11" max="11" width="29" style="1" customWidth="1"/>
    <col min="12" max="12" width="27.33203125" style="1" customWidth="1"/>
    <col min="13" max="13" width="36.83203125" style="1" customWidth="1"/>
    <col min="14" max="14" width="41.5" customWidth="1"/>
    <col min="15" max="15" width="21.5" customWidth="1"/>
    <col min="16" max="16" width="44.83203125" customWidth="1"/>
    <col min="17" max="17" width="31" customWidth="1"/>
    <col min="18" max="18" width="20.1640625" customWidth="1"/>
    <col min="19" max="19" width="55.6640625" customWidth="1"/>
    <col min="20" max="20" width="44.83203125" customWidth="1"/>
    <col min="21" max="21" width="31" customWidth="1"/>
    <col min="22" max="22" width="44.83203125" customWidth="1"/>
    <col min="23" max="23" width="31" customWidth="1"/>
    <col min="24" max="25" width="41.6640625" customWidth="1"/>
  </cols>
  <sheetData>
    <row r="1" spans="2:13" ht="163" customHeight="1">
      <c r="B1" s="1"/>
      <c r="D1" s="27" t="s">
        <v>50</v>
      </c>
      <c r="E1" s="27"/>
      <c r="F1" s="27"/>
      <c r="G1" s="28" t="s">
        <v>5</v>
      </c>
      <c r="H1" s="29"/>
      <c r="I1" s="24"/>
    </row>
    <row r="2" spans="2:13" ht="26" customHeight="1">
      <c r="B2" s="17" t="s">
        <v>0</v>
      </c>
      <c r="C2" s="17" t="s">
        <v>1</v>
      </c>
      <c r="D2" s="17" t="s">
        <v>2</v>
      </c>
      <c r="E2" s="17" t="s">
        <v>3</v>
      </c>
      <c r="F2" s="17" t="s">
        <v>4</v>
      </c>
      <c r="G2" s="17" t="s">
        <v>40</v>
      </c>
      <c r="H2" s="17" t="s">
        <v>39</v>
      </c>
    </row>
    <row r="3" spans="2:13" s="3" customFormat="1" ht="67" customHeight="1">
      <c r="B3" s="10" t="s">
        <v>6</v>
      </c>
      <c r="C3" s="20" t="s">
        <v>7</v>
      </c>
      <c r="D3" s="12">
        <v>802667720</v>
      </c>
      <c r="E3" s="11" t="s">
        <v>8</v>
      </c>
      <c r="F3" s="11" t="s">
        <v>9</v>
      </c>
      <c r="G3" s="11" t="s">
        <v>10</v>
      </c>
      <c r="H3" s="11" t="s">
        <v>11</v>
      </c>
      <c r="I3" s="2"/>
      <c r="J3" s="2"/>
      <c r="K3" s="2"/>
      <c r="L3" s="2"/>
      <c r="M3" s="2"/>
    </row>
    <row r="4" spans="2:13" ht="39" customHeight="1">
      <c r="B4" s="18" t="s">
        <v>12</v>
      </c>
      <c r="C4" s="18" t="s">
        <v>13</v>
      </c>
      <c r="D4" s="30" t="s">
        <v>14</v>
      </c>
      <c r="E4" s="30"/>
      <c r="F4" s="30"/>
      <c r="G4" s="47" t="s">
        <v>15</v>
      </c>
      <c r="H4" s="32"/>
    </row>
    <row r="5" spans="2:13" s="3" customFormat="1" ht="37" customHeight="1">
      <c r="B5" s="11" t="s">
        <v>41</v>
      </c>
      <c r="C5" s="11" t="s">
        <v>38</v>
      </c>
      <c r="D5" s="33" t="s">
        <v>42</v>
      </c>
      <c r="E5" s="34"/>
      <c r="F5" s="35"/>
      <c r="G5" s="40">
        <f>H27</f>
        <v>21209.021236</v>
      </c>
      <c r="H5" s="38"/>
      <c r="I5" s="2"/>
      <c r="J5" s="2"/>
      <c r="K5" s="2"/>
      <c r="L5" s="2"/>
      <c r="M5" s="2"/>
    </row>
    <row r="6" spans="2:13" ht="43.25" customHeight="1">
      <c r="B6" s="4"/>
      <c r="F6" s="19" t="s">
        <v>16</v>
      </c>
    </row>
    <row r="7" spans="2:13" s="5" customFormat="1" ht="53" customHeight="1">
      <c r="C7" s="16" t="s">
        <v>17</v>
      </c>
      <c r="D7" s="16" t="s">
        <v>18</v>
      </c>
      <c r="E7" s="16" t="s">
        <v>19</v>
      </c>
      <c r="F7" s="16" t="s">
        <v>20</v>
      </c>
      <c r="G7" s="46" t="s">
        <v>21</v>
      </c>
      <c r="H7" s="38"/>
      <c r="I7" s="44"/>
      <c r="J7" s="45"/>
      <c r="K7" s="45"/>
      <c r="L7" s="45"/>
      <c r="M7" s="45"/>
    </row>
    <row r="8" spans="2:13" ht="31.75" customHeight="1">
      <c r="C8" s="23" t="s">
        <v>43</v>
      </c>
      <c r="D8" s="50">
        <v>23087.16</v>
      </c>
      <c r="E8" s="50">
        <v>2665.8467300000002</v>
      </c>
      <c r="F8" s="6">
        <v>5.77</v>
      </c>
      <c r="G8" s="42">
        <v>115.6</v>
      </c>
      <c r="H8" s="38"/>
    </row>
    <row r="9" spans="2:13" ht="30" customHeight="1">
      <c r="C9" s="23" t="s">
        <v>44</v>
      </c>
      <c r="D9" s="50">
        <v>23583.66</v>
      </c>
      <c r="E9" s="50">
        <v>3069.9753999999998</v>
      </c>
      <c r="F9" s="6">
        <v>5.9</v>
      </c>
      <c r="G9" s="42">
        <v>130.11000000000001</v>
      </c>
      <c r="H9" s="38"/>
    </row>
    <row r="10" spans="2:13" ht="28.5" customHeight="1">
      <c r="C10" s="23" t="s">
        <v>45</v>
      </c>
      <c r="D10" s="50">
        <v>23583.3</v>
      </c>
      <c r="E10" s="50">
        <v>2894.4392899999998</v>
      </c>
      <c r="F10" s="6">
        <v>5.9</v>
      </c>
      <c r="G10" s="51">
        <v>122.96</v>
      </c>
      <c r="H10" s="52"/>
    </row>
    <row r="11" spans="2:13" ht="28.5" customHeight="1">
      <c r="C11" s="23" t="s">
        <v>46</v>
      </c>
      <c r="D11" s="50">
        <v>23573.13</v>
      </c>
      <c r="E11" s="50">
        <v>3079.8323500000001</v>
      </c>
      <c r="F11" s="6">
        <v>5.89</v>
      </c>
      <c r="G11" s="51">
        <v>130.62</v>
      </c>
      <c r="H11" s="52"/>
    </row>
    <row r="12" spans="2:13" ht="28.5" customHeight="1">
      <c r="C12" s="23" t="s">
        <v>47</v>
      </c>
      <c r="D12" s="50">
        <v>23569.14</v>
      </c>
      <c r="E12" s="50">
        <v>3180.0733300000002</v>
      </c>
      <c r="F12" s="6">
        <v>5.66</v>
      </c>
      <c r="G12" s="51">
        <v>134.82</v>
      </c>
      <c r="H12" s="52"/>
    </row>
    <row r="13" spans="2:13" ht="28.5" customHeight="1">
      <c r="C13" s="23" t="s">
        <v>48</v>
      </c>
      <c r="D13" s="50">
        <v>23575.47</v>
      </c>
      <c r="E13" s="50">
        <v>2627.5145299999999</v>
      </c>
      <c r="F13" s="6">
        <v>5.89</v>
      </c>
      <c r="G13" s="51">
        <v>111.3</v>
      </c>
      <c r="H13" s="52"/>
    </row>
    <row r="14" spans="2:13" ht="28.5" customHeight="1">
      <c r="C14" s="23" t="s">
        <v>49</v>
      </c>
      <c r="D14" s="50">
        <v>23568.42</v>
      </c>
      <c r="E14" s="50">
        <v>2490.82897</v>
      </c>
      <c r="F14" s="6">
        <v>5.89</v>
      </c>
      <c r="G14" s="51">
        <v>105.63</v>
      </c>
      <c r="H14" s="52"/>
    </row>
    <row r="15" spans="2:13" ht="57" customHeight="1">
      <c r="C15" s="49" t="s">
        <v>22</v>
      </c>
      <c r="D15" s="21">
        <f>SUM(D8:D14)</f>
        <v>164540.27999999997</v>
      </c>
      <c r="E15" s="21">
        <f>SUM(E8:E14)</f>
        <v>20008.510600000001</v>
      </c>
      <c r="F15" s="21">
        <f>SUM(F8:F14)</f>
        <v>40.9</v>
      </c>
      <c r="G15" s="39">
        <f>MEDIAN(G8:H14)</f>
        <v>122.96</v>
      </c>
      <c r="H15" s="38"/>
    </row>
    <row r="16" spans="2:13" ht="28.75" customHeight="1"/>
    <row r="17" spans="2:8" ht="34" customHeight="1">
      <c r="B17" s="36" t="s">
        <v>23</v>
      </c>
      <c r="C17" s="37"/>
      <c r="D17" s="38"/>
      <c r="E17" s="7"/>
      <c r="F17" s="36" t="s">
        <v>24</v>
      </c>
      <c r="G17" s="37"/>
      <c r="H17" s="38"/>
    </row>
    <row r="18" spans="2:8" ht="55" customHeight="1">
      <c r="B18" s="41" t="s">
        <v>25</v>
      </c>
      <c r="C18" s="38"/>
      <c r="D18" s="13">
        <v>0.25</v>
      </c>
      <c r="F18" s="41" t="s">
        <v>26</v>
      </c>
      <c r="G18" s="38"/>
      <c r="H18" s="22">
        <v>164.54</v>
      </c>
    </row>
    <row r="19" spans="2:8" ht="52" customHeight="1">
      <c r="B19" s="41" t="s">
        <v>27</v>
      </c>
      <c r="C19" s="38"/>
      <c r="D19" s="22">
        <f>F15</f>
        <v>40.9</v>
      </c>
      <c r="F19" s="41" t="s">
        <v>28</v>
      </c>
      <c r="G19" s="38"/>
      <c r="H19" s="22">
        <f>E15</f>
        <v>20008.510600000001</v>
      </c>
    </row>
    <row r="20" spans="2:8" ht="30" customHeight="1">
      <c r="F20" s="41" t="s">
        <v>29</v>
      </c>
      <c r="G20" s="38"/>
      <c r="H20" s="14">
        <f>H19*6%</f>
        <v>1200.510636</v>
      </c>
    </row>
    <row r="21" spans="2:8" ht="29.75" customHeight="1">
      <c r="F21" s="41" t="s">
        <v>30</v>
      </c>
      <c r="G21" s="38"/>
      <c r="H21" s="14">
        <f>-(D19*1.24)</f>
        <v>-50.716000000000001</v>
      </c>
    </row>
    <row r="22" spans="2:8" ht="30" customHeight="1">
      <c r="F22" s="41" t="s">
        <v>31</v>
      </c>
      <c r="G22" s="38"/>
      <c r="H22" s="15">
        <f>H19+H20+H21</f>
        <v>21158.305236</v>
      </c>
    </row>
    <row r="23" spans="2:8" ht="21.5" customHeight="1">
      <c r="B23" s="36" t="s">
        <v>32</v>
      </c>
      <c r="C23" s="37"/>
      <c r="D23" s="38"/>
    </row>
    <row r="24" spans="2:8" ht="36" customHeight="1">
      <c r="B24" s="8" t="s">
        <v>33</v>
      </c>
      <c r="C24" s="43" t="s">
        <v>34</v>
      </c>
      <c r="D24" s="38"/>
      <c r="F24" s="36" t="s">
        <v>35</v>
      </c>
      <c r="G24" s="37"/>
      <c r="H24" s="38"/>
    </row>
    <row r="25" spans="2:8" ht="25.25" customHeight="1">
      <c r="B25" s="9" t="s">
        <v>12</v>
      </c>
      <c r="C25" s="25" t="s">
        <v>41</v>
      </c>
      <c r="D25" s="26"/>
      <c r="F25" s="41" t="s">
        <v>28</v>
      </c>
      <c r="G25" s="38"/>
      <c r="H25" s="14">
        <f>H19</f>
        <v>20008.510600000001</v>
      </c>
    </row>
    <row r="26" spans="2:8" ht="28.5" customHeight="1">
      <c r="F26" s="41" t="s">
        <v>29</v>
      </c>
      <c r="G26" s="38"/>
      <c r="H26" s="14">
        <f>H25*6%</f>
        <v>1200.510636</v>
      </c>
    </row>
    <row r="27" spans="2:8" ht="28.5" customHeight="1">
      <c r="F27" s="41" t="s">
        <v>36</v>
      </c>
      <c r="G27" s="38"/>
      <c r="H27" s="14">
        <f>H25+H26</f>
        <v>21209.021236</v>
      </c>
    </row>
    <row r="28" spans="2:8" ht="28.75" customHeight="1"/>
    <row r="29" spans="2:8" ht="38.25" customHeight="1">
      <c r="B29" s="31" t="s">
        <v>37</v>
      </c>
      <c r="C29" s="32"/>
      <c r="D29" s="32"/>
      <c r="E29" s="32"/>
      <c r="F29" s="32"/>
      <c r="G29" s="32"/>
      <c r="H29" s="32"/>
    </row>
    <row r="30" spans="2:8" ht="39" customHeight="1">
      <c r="B30" s="32"/>
      <c r="C30" s="32"/>
      <c r="D30" s="32"/>
      <c r="E30" s="32"/>
      <c r="F30" s="32"/>
      <c r="G30" s="32"/>
      <c r="H30" s="32"/>
    </row>
    <row r="31" spans="2:8" ht="28.75" customHeight="1"/>
    <row r="33" ht="28.75" customHeight="1"/>
    <row r="35" ht="36" customHeight="1"/>
    <row r="36" ht="28.5" customHeight="1"/>
    <row r="37" ht="28.5" customHeight="1"/>
    <row r="38" ht="28.5" customHeight="1"/>
  </sheetData>
  <mergeCells count="33">
    <mergeCell ref="G4:H4"/>
    <mergeCell ref="B19:C19"/>
    <mergeCell ref="I7:M7"/>
    <mergeCell ref="G7:H7"/>
    <mergeCell ref="G10:H10"/>
    <mergeCell ref="G13:H13"/>
    <mergeCell ref="G9:H9"/>
    <mergeCell ref="G12:H12"/>
    <mergeCell ref="F17:H17"/>
    <mergeCell ref="G11:H11"/>
    <mergeCell ref="G8:H8"/>
    <mergeCell ref="F21:G21"/>
    <mergeCell ref="F18:G18"/>
    <mergeCell ref="F26:G26"/>
    <mergeCell ref="F24:H24"/>
    <mergeCell ref="F25:G25"/>
    <mergeCell ref="F20:G20"/>
    <mergeCell ref="C25:D25"/>
    <mergeCell ref="D1:F1"/>
    <mergeCell ref="G1:H1"/>
    <mergeCell ref="D4:F4"/>
    <mergeCell ref="B29:H30"/>
    <mergeCell ref="D5:F5"/>
    <mergeCell ref="B17:D17"/>
    <mergeCell ref="G15:H15"/>
    <mergeCell ref="G5:H5"/>
    <mergeCell ref="F22:G22"/>
    <mergeCell ref="G14:H14"/>
    <mergeCell ref="C24:D24"/>
    <mergeCell ref="B23:D23"/>
    <mergeCell ref="F19:G19"/>
    <mergeCell ref="F27:G27"/>
    <mergeCell ref="B18:C18"/>
  </mergeCells>
  <pageMargins left="0.41666700000000001" right="0.41666700000000001" top="0.25" bottom="0.25" header="0.25" footer="0.25"/>
  <pageSetup scale="59" fitToHeight="0" orientation="portrait"/>
  <headerFooter>
    <oddFooter>&amp;C&amp;"Avenir Next Regular,Regular"&amp;12 &amp;K000000&amp;P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A884-EB59-F143-9810-BF5CC1E64E5E}">
  <dimension ref="A1:AA98"/>
  <sheetViews>
    <sheetView topLeftCell="R84" workbookViewId="0">
      <selection activeCell="X105" sqref="X105"/>
    </sheetView>
  </sheetViews>
  <sheetFormatPr baseColWidth="10" defaultRowHeight="15"/>
  <cols>
    <col min="2" max="2" width="13.1640625" customWidth="1"/>
    <col min="3" max="3" width="11.6640625" bestFit="1" customWidth="1"/>
    <col min="7" max="7" width="11.6640625" bestFit="1" customWidth="1"/>
    <col min="11" max="11" width="11.6640625" bestFit="1" customWidth="1"/>
  </cols>
  <sheetData>
    <row r="1" spans="1:27" ht="32">
      <c r="A1" t="s">
        <v>52</v>
      </c>
      <c r="B1" t="s">
        <v>51</v>
      </c>
    </row>
    <row r="2" spans="1:27">
      <c r="A2" s="53">
        <v>245.64</v>
      </c>
      <c r="B2" s="53">
        <v>102.13</v>
      </c>
      <c r="C2">
        <f>A2*B2</f>
        <v>25087.213199999998</v>
      </c>
      <c r="E2" s="53">
        <v>245.58</v>
      </c>
      <c r="F2" s="53">
        <v>116.5</v>
      </c>
      <c r="G2">
        <f>E2*F2</f>
        <v>28610.07</v>
      </c>
      <c r="I2" s="53">
        <v>245.7</v>
      </c>
      <c r="J2" s="53">
        <v>110.64</v>
      </c>
      <c r="K2">
        <f>I2*J2</f>
        <v>27184.248</v>
      </c>
      <c r="M2" s="53">
        <v>245.85</v>
      </c>
      <c r="N2" s="53">
        <v>132.84</v>
      </c>
      <c r="O2">
        <f>M2*N2</f>
        <v>32658.714</v>
      </c>
      <c r="Q2" s="53">
        <v>245.61</v>
      </c>
      <c r="R2" s="53">
        <v>130.38</v>
      </c>
      <c r="S2">
        <f>Q2*R2</f>
        <v>32022.631799999999</v>
      </c>
      <c r="U2" s="53">
        <v>245.55</v>
      </c>
      <c r="V2" s="53">
        <v>120.76</v>
      </c>
      <c r="W2">
        <f>U2*V2</f>
        <v>29652.618000000002</v>
      </c>
      <c r="Y2" s="53">
        <v>245.61</v>
      </c>
      <c r="Z2" s="53">
        <v>105.88</v>
      </c>
      <c r="AA2">
        <f>Y2*Z2</f>
        <v>26005.186799999999</v>
      </c>
    </row>
    <row r="3" spans="1:27">
      <c r="A3" s="53">
        <v>245.64</v>
      </c>
      <c r="B3" s="53">
        <v>91.9</v>
      </c>
      <c r="C3">
        <f t="shared" ref="C3:C66" si="0">A3*B3</f>
        <v>22574.315999999999</v>
      </c>
      <c r="E3" s="53">
        <v>245.58</v>
      </c>
      <c r="F3" s="53">
        <v>99.13</v>
      </c>
      <c r="G3">
        <f t="shared" ref="G3:G66" si="1">E3*F3</f>
        <v>24344.345399999998</v>
      </c>
      <c r="I3" s="53">
        <v>245.7</v>
      </c>
      <c r="J3" s="53">
        <v>96.8</v>
      </c>
      <c r="K3">
        <f t="shared" ref="K3:K66" si="2">I3*J3</f>
        <v>23783.759999999998</v>
      </c>
      <c r="M3" s="53">
        <v>245.58</v>
      </c>
      <c r="N3" s="53">
        <v>99.97</v>
      </c>
      <c r="O3">
        <f t="shared" ref="O3:O66" si="3">M3*N3</f>
        <v>24550.632600000001</v>
      </c>
      <c r="Q3" s="53">
        <v>245.58</v>
      </c>
      <c r="R3" s="53">
        <v>104.6</v>
      </c>
      <c r="S3">
        <f t="shared" ref="S3:S66" si="4">Q3*R3</f>
        <v>25687.668000000001</v>
      </c>
      <c r="U3" s="53">
        <v>245.58</v>
      </c>
      <c r="V3" s="53">
        <v>103.15</v>
      </c>
      <c r="W3">
        <f t="shared" ref="W3:W66" si="5">U3*V3</f>
        <v>25331.577000000001</v>
      </c>
      <c r="Y3" s="53">
        <v>245.61</v>
      </c>
      <c r="Z3" s="53">
        <v>101.4</v>
      </c>
      <c r="AA3">
        <f t="shared" ref="AA3:AA66" si="6">Y3*Z3</f>
        <v>24904.854000000003</v>
      </c>
    </row>
    <row r="4" spans="1:27">
      <c r="A4" s="53">
        <v>245.64</v>
      </c>
      <c r="B4" s="53">
        <v>85.08</v>
      </c>
      <c r="C4">
        <f t="shared" si="0"/>
        <v>20899.051199999998</v>
      </c>
      <c r="E4" s="53">
        <v>245.61</v>
      </c>
      <c r="F4" s="53">
        <v>89.62</v>
      </c>
      <c r="G4">
        <f t="shared" si="1"/>
        <v>22011.568200000002</v>
      </c>
      <c r="I4" s="53">
        <v>245.7</v>
      </c>
      <c r="J4" s="53">
        <v>87.24</v>
      </c>
      <c r="K4">
        <f t="shared" si="2"/>
        <v>21434.867999999999</v>
      </c>
      <c r="M4" s="53">
        <v>245.58</v>
      </c>
      <c r="N4" s="53">
        <v>96.33</v>
      </c>
      <c r="O4">
        <f t="shared" si="3"/>
        <v>23656.721400000002</v>
      </c>
      <c r="Q4" s="53">
        <v>245.31</v>
      </c>
      <c r="R4" s="53">
        <v>98.12</v>
      </c>
      <c r="S4">
        <f t="shared" si="4"/>
        <v>24069.817200000001</v>
      </c>
      <c r="U4" s="53">
        <v>245.58</v>
      </c>
      <c r="V4" s="53">
        <v>92.99</v>
      </c>
      <c r="W4">
        <f t="shared" si="5"/>
        <v>22836.484199999999</v>
      </c>
      <c r="Y4" s="53">
        <v>245.61</v>
      </c>
      <c r="Z4" s="53">
        <v>96.2</v>
      </c>
      <c r="AA4">
        <f t="shared" si="6"/>
        <v>23627.682000000001</v>
      </c>
    </row>
    <row r="5" spans="1:27">
      <c r="A5" s="53">
        <v>245.67</v>
      </c>
      <c r="B5" s="53">
        <v>77.25</v>
      </c>
      <c r="C5">
        <f t="shared" si="0"/>
        <v>18978.0075</v>
      </c>
      <c r="E5" s="53">
        <v>245.58</v>
      </c>
      <c r="F5" s="53">
        <v>84.56</v>
      </c>
      <c r="G5">
        <f t="shared" si="1"/>
        <v>20766.2448</v>
      </c>
      <c r="I5" s="53">
        <v>245.7</v>
      </c>
      <c r="J5" s="53">
        <v>81.53</v>
      </c>
      <c r="K5">
        <f t="shared" si="2"/>
        <v>20031.920999999998</v>
      </c>
      <c r="M5" s="53">
        <v>245.58</v>
      </c>
      <c r="N5" s="53">
        <v>91.26</v>
      </c>
      <c r="O5">
        <f t="shared" si="3"/>
        <v>22411.630800000003</v>
      </c>
      <c r="Q5" s="53">
        <v>245.61</v>
      </c>
      <c r="R5" s="53">
        <v>92.74</v>
      </c>
      <c r="S5">
        <f t="shared" si="4"/>
        <v>22777.8714</v>
      </c>
      <c r="U5" s="53">
        <v>245.58</v>
      </c>
      <c r="V5" s="53">
        <v>88.88</v>
      </c>
      <c r="W5">
        <f t="shared" si="5"/>
        <v>21827.150399999999</v>
      </c>
      <c r="Y5" s="53">
        <v>245.58</v>
      </c>
      <c r="Z5" s="53">
        <v>89.16</v>
      </c>
      <c r="AA5">
        <f t="shared" si="6"/>
        <v>21895.912800000002</v>
      </c>
    </row>
    <row r="6" spans="1:27">
      <c r="A6" s="53">
        <v>245.64</v>
      </c>
      <c r="B6" s="53">
        <v>86.89</v>
      </c>
      <c r="C6">
        <f t="shared" si="0"/>
        <v>21343.659599999999</v>
      </c>
      <c r="E6" s="53">
        <v>245.61</v>
      </c>
      <c r="F6" s="53">
        <v>93</v>
      </c>
      <c r="G6">
        <f t="shared" si="1"/>
        <v>22841.73</v>
      </c>
      <c r="I6" s="53">
        <v>245.7</v>
      </c>
      <c r="J6" s="53">
        <v>95.17</v>
      </c>
      <c r="K6">
        <f t="shared" si="2"/>
        <v>23383.269</v>
      </c>
      <c r="M6" s="53">
        <v>245.58</v>
      </c>
      <c r="N6" s="53">
        <v>93</v>
      </c>
      <c r="O6">
        <f t="shared" si="3"/>
        <v>22838.940000000002</v>
      </c>
      <c r="Q6" s="53">
        <v>245.58</v>
      </c>
      <c r="R6" s="53">
        <v>92.86</v>
      </c>
      <c r="S6">
        <f t="shared" si="4"/>
        <v>22804.558800000003</v>
      </c>
      <c r="U6" s="53">
        <v>245.55</v>
      </c>
      <c r="V6" s="53">
        <v>105.5</v>
      </c>
      <c r="W6">
        <f t="shared" si="5"/>
        <v>25905.525000000001</v>
      </c>
      <c r="Y6" s="53">
        <v>245.61</v>
      </c>
      <c r="Z6" s="53">
        <v>100.51</v>
      </c>
      <c r="AA6">
        <f t="shared" si="6"/>
        <v>24686.261100000003</v>
      </c>
    </row>
    <row r="7" spans="1:27">
      <c r="A7" s="53">
        <v>245.94</v>
      </c>
      <c r="B7" s="53">
        <v>89.55</v>
      </c>
      <c r="C7">
        <f t="shared" si="0"/>
        <v>22023.927</v>
      </c>
      <c r="E7" s="53">
        <v>245.58</v>
      </c>
      <c r="F7" s="53">
        <v>93</v>
      </c>
      <c r="G7">
        <f t="shared" si="1"/>
        <v>22838.940000000002</v>
      </c>
      <c r="I7" s="53">
        <v>245.7</v>
      </c>
      <c r="J7" s="53">
        <v>98.5</v>
      </c>
      <c r="K7">
        <f t="shared" si="2"/>
        <v>24201.449999999997</v>
      </c>
      <c r="M7" s="53">
        <v>245.58</v>
      </c>
      <c r="N7" s="53">
        <v>93</v>
      </c>
      <c r="O7">
        <f t="shared" si="3"/>
        <v>22838.940000000002</v>
      </c>
      <c r="Q7" s="53">
        <v>245.88</v>
      </c>
      <c r="R7" s="53">
        <v>92.11</v>
      </c>
      <c r="S7">
        <f t="shared" si="4"/>
        <v>22648.006799999999</v>
      </c>
      <c r="U7" s="53">
        <v>245.55</v>
      </c>
      <c r="V7" s="53">
        <v>103.9</v>
      </c>
      <c r="W7">
        <f t="shared" si="5"/>
        <v>25512.645000000004</v>
      </c>
      <c r="Y7" s="53">
        <v>245.58</v>
      </c>
      <c r="Z7" s="53">
        <v>93.61</v>
      </c>
      <c r="AA7">
        <f t="shared" si="6"/>
        <v>22988.7438</v>
      </c>
    </row>
    <row r="8" spans="1:27">
      <c r="A8" s="53">
        <v>245.67</v>
      </c>
      <c r="B8" s="53">
        <v>87.81</v>
      </c>
      <c r="C8">
        <f t="shared" si="0"/>
        <v>21572.2827</v>
      </c>
      <c r="E8" s="53">
        <v>245.58</v>
      </c>
      <c r="F8" s="53">
        <v>93</v>
      </c>
      <c r="G8">
        <f t="shared" si="1"/>
        <v>22838.940000000002</v>
      </c>
      <c r="I8" s="53">
        <v>245.94</v>
      </c>
      <c r="J8" s="53">
        <v>91.87</v>
      </c>
      <c r="K8">
        <f t="shared" si="2"/>
        <v>22594.507799999999</v>
      </c>
      <c r="M8" s="53">
        <v>245.58</v>
      </c>
      <c r="N8" s="53">
        <v>93</v>
      </c>
      <c r="O8">
        <f t="shared" si="3"/>
        <v>22838.940000000002</v>
      </c>
      <c r="Q8" s="53">
        <v>245.58</v>
      </c>
      <c r="R8" s="53">
        <v>95.76</v>
      </c>
      <c r="S8">
        <f t="shared" si="4"/>
        <v>23516.740800000003</v>
      </c>
      <c r="U8" s="53">
        <v>245.58</v>
      </c>
      <c r="V8" s="53">
        <v>105.26</v>
      </c>
      <c r="W8">
        <f t="shared" si="5"/>
        <v>25849.750800000002</v>
      </c>
      <c r="Y8" s="53">
        <v>245.61</v>
      </c>
      <c r="Z8" s="53">
        <v>100.11</v>
      </c>
      <c r="AA8">
        <f t="shared" si="6"/>
        <v>24588.017100000001</v>
      </c>
    </row>
    <row r="9" spans="1:27">
      <c r="A9" s="53">
        <v>245.67</v>
      </c>
      <c r="B9" s="53">
        <v>81.83</v>
      </c>
      <c r="C9">
        <f t="shared" si="0"/>
        <v>20103.176099999997</v>
      </c>
      <c r="E9" s="53">
        <v>245.61</v>
      </c>
      <c r="F9" s="53">
        <v>89.38</v>
      </c>
      <c r="G9">
        <f t="shared" si="1"/>
        <v>21952.621800000001</v>
      </c>
      <c r="I9" s="53">
        <v>245.7</v>
      </c>
      <c r="J9" s="53">
        <v>90</v>
      </c>
      <c r="K9">
        <f t="shared" si="2"/>
        <v>22113</v>
      </c>
      <c r="M9" s="53">
        <v>245.58</v>
      </c>
      <c r="N9" s="53">
        <v>93</v>
      </c>
      <c r="O9">
        <f t="shared" si="3"/>
        <v>22838.940000000002</v>
      </c>
      <c r="Q9" s="53">
        <v>245.58</v>
      </c>
      <c r="R9" s="53">
        <v>91.34</v>
      </c>
      <c r="S9">
        <f t="shared" si="4"/>
        <v>22431.2772</v>
      </c>
      <c r="U9" s="53">
        <v>245.52</v>
      </c>
      <c r="V9" s="53">
        <v>100.58</v>
      </c>
      <c r="W9">
        <f t="shared" si="5"/>
        <v>24694.401600000001</v>
      </c>
      <c r="Y9" s="53">
        <v>245.58</v>
      </c>
      <c r="Z9" s="53">
        <v>97.71</v>
      </c>
      <c r="AA9">
        <f t="shared" si="6"/>
        <v>23995.621800000001</v>
      </c>
    </row>
    <row r="10" spans="1:27">
      <c r="A10" s="53">
        <v>245.67</v>
      </c>
      <c r="B10" s="53">
        <v>84.41</v>
      </c>
      <c r="C10">
        <f t="shared" si="0"/>
        <v>20737.004699999998</v>
      </c>
      <c r="E10" s="53">
        <v>245.58</v>
      </c>
      <c r="F10" s="53">
        <v>85.08</v>
      </c>
      <c r="G10">
        <f t="shared" si="1"/>
        <v>20893.946400000001</v>
      </c>
      <c r="I10" s="53">
        <v>245.7</v>
      </c>
      <c r="J10" s="53">
        <v>90</v>
      </c>
      <c r="K10">
        <f t="shared" si="2"/>
        <v>22113</v>
      </c>
      <c r="M10" s="53">
        <v>245.61</v>
      </c>
      <c r="N10" s="53">
        <v>93</v>
      </c>
      <c r="O10">
        <f t="shared" si="3"/>
        <v>22841.73</v>
      </c>
      <c r="Q10" s="53">
        <v>245.58</v>
      </c>
      <c r="R10" s="53">
        <v>93.14</v>
      </c>
      <c r="S10">
        <f t="shared" si="4"/>
        <v>22873.321200000002</v>
      </c>
      <c r="U10" s="53">
        <v>245.58</v>
      </c>
      <c r="V10" s="53">
        <v>105</v>
      </c>
      <c r="W10">
        <f t="shared" si="5"/>
        <v>25785.9</v>
      </c>
      <c r="Y10" s="53">
        <v>245.61</v>
      </c>
      <c r="Z10" s="53">
        <v>102.48</v>
      </c>
      <c r="AA10">
        <f t="shared" si="6"/>
        <v>25170.112800000003</v>
      </c>
    </row>
    <row r="11" spans="1:27">
      <c r="A11" s="53">
        <v>245.67</v>
      </c>
      <c r="B11" s="53">
        <v>82.49</v>
      </c>
      <c r="C11">
        <f t="shared" si="0"/>
        <v>20265.318299999999</v>
      </c>
      <c r="E11" s="53">
        <v>245.88</v>
      </c>
      <c r="F11" s="53">
        <v>82.06</v>
      </c>
      <c r="G11">
        <f t="shared" si="1"/>
        <v>20176.912800000002</v>
      </c>
      <c r="I11" s="53">
        <v>245.7</v>
      </c>
      <c r="J11" s="53">
        <v>89.33</v>
      </c>
      <c r="K11">
        <f t="shared" si="2"/>
        <v>21948.380999999998</v>
      </c>
      <c r="M11" s="53">
        <v>245.58</v>
      </c>
      <c r="N11" s="53">
        <v>93</v>
      </c>
      <c r="O11">
        <f t="shared" si="3"/>
        <v>22838.940000000002</v>
      </c>
      <c r="Q11" s="53">
        <v>245.58</v>
      </c>
      <c r="R11" s="53">
        <v>90.96</v>
      </c>
      <c r="S11">
        <f t="shared" si="4"/>
        <v>22337.9568</v>
      </c>
      <c r="U11" s="53">
        <v>245.55</v>
      </c>
      <c r="V11" s="53">
        <v>102.16</v>
      </c>
      <c r="W11">
        <f t="shared" si="5"/>
        <v>25085.387999999999</v>
      </c>
      <c r="Y11" s="53">
        <v>245.61</v>
      </c>
      <c r="Z11" s="53">
        <v>96.91</v>
      </c>
      <c r="AA11">
        <f t="shared" si="6"/>
        <v>23802.0651</v>
      </c>
    </row>
    <row r="12" spans="1:27">
      <c r="A12" s="53">
        <v>245.67</v>
      </c>
      <c r="B12" s="53">
        <v>75.2</v>
      </c>
      <c r="C12">
        <f t="shared" si="0"/>
        <v>18474.383999999998</v>
      </c>
      <c r="E12" s="53">
        <v>245.61</v>
      </c>
      <c r="F12" s="53">
        <v>81.93</v>
      </c>
      <c r="G12">
        <f t="shared" si="1"/>
        <v>20122.827300000004</v>
      </c>
      <c r="I12" s="53">
        <v>245.7</v>
      </c>
      <c r="J12" s="53">
        <v>88.81</v>
      </c>
      <c r="K12">
        <f t="shared" si="2"/>
        <v>21820.616999999998</v>
      </c>
      <c r="M12" s="53">
        <v>245.58</v>
      </c>
      <c r="N12" s="53">
        <v>93</v>
      </c>
      <c r="O12">
        <f t="shared" si="3"/>
        <v>22838.940000000002</v>
      </c>
      <c r="Q12" s="53">
        <v>245.55</v>
      </c>
      <c r="R12" s="53">
        <v>91.06</v>
      </c>
      <c r="S12">
        <f t="shared" si="4"/>
        <v>22359.783000000003</v>
      </c>
      <c r="U12" s="53">
        <v>245.55</v>
      </c>
      <c r="V12" s="53">
        <v>97.74</v>
      </c>
      <c r="W12">
        <f t="shared" si="5"/>
        <v>24000.057000000001</v>
      </c>
      <c r="Y12" s="53">
        <v>245.88</v>
      </c>
      <c r="Z12" s="53">
        <v>94.35</v>
      </c>
      <c r="AA12">
        <f t="shared" si="6"/>
        <v>23198.777999999998</v>
      </c>
    </row>
    <row r="13" spans="1:27">
      <c r="A13" s="53">
        <v>245.67</v>
      </c>
      <c r="B13" s="53">
        <v>74.91</v>
      </c>
      <c r="C13">
        <f t="shared" si="0"/>
        <v>18403.1397</v>
      </c>
      <c r="E13" s="53">
        <v>245.61</v>
      </c>
      <c r="F13" s="53">
        <v>82.04</v>
      </c>
      <c r="G13">
        <f t="shared" si="1"/>
        <v>20149.844400000002</v>
      </c>
      <c r="I13" s="53">
        <v>245.7</v>
      </c>
      <c r="J13" s="53">
        <v>87.79</v>
      </c>
      <c r="K13">
        <f t="shared" si="2"/>
        <v>21570.003000000001</v>
      </c>
      <c r="M13" s="53">
        <v>245.85</v>
      </c>
      <c r="N13" s="53">
        <v>93</v>
      </c>
      <c r="O13">
        <f t="shared" si="3"/>
        <v>22864.05</v>
      </c>
      <c r="Q13" s="53">
        <v>245.58</v>
      </c>
      <c r="R13" s="53">
        <v>90.68</v>
      </c>
      <c r="S13">
        <f t="shared" si="4"/>
        <v>22269.194400000004</v>
      </c>
      <c r="U13" s="53">
        <v>245.55</v>
      </c>
      <c r="V13" s="53">
        <v>97.51</v>
      </c>
      <c r="W13">
        <f t="shared" si="5"/>
        <v>23943.580500000004</v>
      </c>
      <c r="Y13" s="53">
        <v>245.61</v>
      </c>
      <c r="Z13" s="53">
        <v>92.24</v>
      </c>
      <c r="AA13">
        <f t="shared" si="6"/>
        <v>22655.0664</v>
      </c>
    </row>
    <row r="14" spans="1:27">
      <c r="A14" s="53">
        <v>245.67</v>
      </c>
      <c r="B14" s="53">
        <v>82.34</v>
      </c>
      <c r="C14">
        <f t="shared" si="0"/>
        <v>20228.467799999999</v>
      </c>
      <c r="E14" s="53">
        <v>245.61</v>
      </c>
      <c r="F14" s="53">
        <v>82.59</v>
      </c>
      <c r="G14">
        <f t="shared" si="1"/>
        <v>20284.929900000003</v>
      </c>
      <c r="I14" s="53">
        <v>245.7</v>
      </c>
      <c r="J14" s="53">
        <v>88.92</v>
      </c>
      <c r="K14">
        <f t="shared" si="2"/>
        <v>21847.644</v>
      </c>
      <c r="M14" s="53">
        <v>245.58</v>
      </c>
      <c r="N14" s="53">
        <v>93</v>
      </c>
      <c r="O14">
        <f t="shared" si="3"/>
        <v>22838.940000000002</v>
      </c>
      <c r="Q14" s="53">
        <v>245.55</v>
      </c>
      <c r="R14" s="53">
        <v>93.23</v>
      </c>
      <c r="S14">
        <f t="shared" si="4"/>
        <v>22892.626500000002</v>
      </c>
      <c r="U14" s="53">
        <v>245.55</v>
      </c>
      <c r="V14" s="53">
        <v>102.08</v>
      </c>
      <c r="W14">
        <f t="shared" si="5"/>
        <v>25065.744000000002</v>
      </c>
      <c r="Y14" s="53">
        <v>245.61</v>
      </c>
      <c r="Z14" s="53">
        <v>97.14</v>
      </c>
      <c r="AA14">
        <f t="shared" si="6"/>
        <v>23858.555400000001</v>
      </c>
    </row>
    <row r="15" spans="1:27">
      <c r="A15" s="53">
        <v>245.7</v>
      </c>
      <c r="B15" s="53">
        <v>81.650000000000006</v>
      </c>
      <c r="C15">
        <f t="shared" si="0"/>
        <v>20061.404999999999</v>
      </c>
      <c r="E15" s="53">
        <v>245.58</v>
      </c>
      <c r="F15" s="53">
        <v>83.35</v>
      </c>
      <c r="G15">
        <f t="shared" si="1"/>
        <v>20469.093000000001</v>
      </c>
      <c r="I15" s="53">
        <v>245.7</v>
      </c>
      <c r="J15" s="53">
        <v>88.62</v>
      </c>
      <c r="K15">
        <f t="shared" si="2"/>
        <v>21773.934000000001</v>
      </c>
      <c r="M15" s="53">
        <v>245.58</v>
      </c>
      <c r="N15" s="53">
        <v>93</v>
      </c>
      <c r="O15">
        <f t="shared" si="3"/>
        <v>22838.940000000002</v>
      </c>
      <c r="Q15" s="53">
        <v>245.58</v>
      </c>
      <c r="R15" s="53">
        <v>91.8</v>
      </c>
      <c r="S15">
        <f t="shared" si="4"/>
        <v>22544.243999999999</v>
      </c>
      <c r="U15" s="53">
        <v>245.82</v>
      </c>
      <c r="V15" s="53">
        <v>99.1</v>
      </c>
      <c r="W15">
        <f t="shared" si="5"/>
        <v>24360.761999999999</v>
      </c>
      <c r="Y15" s="53">
        <v>245.61</v>
      </c>
      <c r="Z15" s="53">
        <v>96.08</v>
      </c>
      <c r="AA15">
        <f t="shared" si="6"/>
        <v>23598.2088</v>
      </c>
    </row>
    <row r="16" spans="1:27">
      <c r="A16" s="53">
        <v>245.67</v>
      </c>
      <c r="B16" s="53">
        <v>81.05</v>
      </c>
      <c r="C16">
        <f t="shared" si="0"/>
        <v>19911.553499999998</v>
      </c>
      <c r="E16" s="53">
        <v>245.64</v>
      </c>
      <c r="F16" s="53">
        <v>82.31</v>
      </c>
      <c r="G16">
        <f t="shared" si="1"/>
        <v>20218.628399999998</v>
      </c>
      <c r="I16" s="53">
        <v>245.73</v>
      </c>
      <c r="J16" s="53">
        <v>88.34</v>
      </c>
      <c r="K16">
        <f t="shared" si="2"/>
        <v>21707.788199999999</v>
      </c>
      <c r="M16" s="53">
        <v>245.58</v>
      </c>
      <c r="N16" s="53">
        <v>93</v>
      </c>
      <c r="O16">
        <f t="shared" si="3"/>
        <v>22838.940000000002</v>
      </c>
      <c r="Q16" s="53">
        <v>245.58</v>
      </c>
      <c r="R16" s="53">
        <v>92.81</v>
      </c>
      <c r="S16">
        <f t="shared" si="4"/>
        <v>22792.2798</v>
      </c>
      <c r="U16" s="53">
        <v>245.58</v>
      </c>
      <c r="V16" s="53">
        <v>97.21</v>
      </c>
      <c r="W16">
        <f t="shared" si="5"/>
        <v>23872.8318</v>
      </c>
      <c r="Y16" s="53">
        <v>245.58</v>
      </c>
      <c r="Z16" s="53">
        <v>94.34</v>
      </c>
      <c r="AA16">
        <f t="shared" si="6"/>
        <v>23168.017200000002</v>
      </c>
    </row>
    <row r="17" spans="1:27">
      <c r="A17" s="53">
        <v>245.67</v>
      </c>
      <c r="B17" s="53">
        <v>80.77</v>
      </c>
      <c r="C17">
        <f t="shared" si="0"/>
        <v>19842.765899999999</v>
      </c>
      <c r="E17" s="53">
        <v>245.64</v>
      </c>
      <c r="F17" s="53">
        <v>82.35</v>
      </c>
      <c r="G17">
        <f t="shared" si="1"/>
        <v>20228.453999999998</v>
      </c>
      <c r="I17" s="53">
        <v>245.7</v>
      </c>
      <c r="J17" s="53">
        <v>87.89</v>
      </c>
      <c r="K17">
        <f t="shared" si="2"/>
        <v>21594.573</v>
      </c>
      <c r="M17" s="53">
        <v>245.58</v>
      </c>
      <c r="N17" s="53">
        <v>93</v>
      </c>
      <c r="O17">
        <f t="shared" si="3"/>
        <v>22838.940000000002</v>
      </c>
      <c r="Q17" s="53">
        <v>245.55</v>
      </c>
      <c r="R17" s="53">
        <v>92.12</v>
      </c>
      <c r="S17">
        <f t="shared" si="4"/>
        <v>22620.066000000003</v>
      </c>
      <c r="U17" s="53">
        <v>245.55</v>
      </c>
      <c r="V17" s="53">
        <v>95.43</v>
      </c>
      <c r="W17">
        <f t="shared" si="5"/>
        <v>23432.836500000001</v>
      </c>
      <c r="Y17" s="53">
        <v>245.61</v>
      </c>
      <c r="Z17" s="53">
        <v>92.59</v>
      </c>
      <c r="AA17">
        <f t="shared" si="6"/>
        <v>22741.029900000001</v>
      </c>
    </row>
    <row r="18" spans="1:27">
      <c r="A18" s="53">
        <v>245.7</v>
      </c>
      <c r="B18" s="53">
        <v>81.25</v>
      </c>
      <c r="C18">
        <f t="shared" si="0"/>
        <v>19963.125</v>
      </c>
      <c r="E18" s="53">
        <v>245.61</v>
      </c>
      <c r="F18" s="53">
        <v>82.37</v>
      </c>
      <c r="G18">
        <f t="shared" si="1"/>
        <v>20230.895700000001</v>
      </c>
      <c r="I18" s="53">
        <v>245.7</v>
      </c>
      <c r="J18" s="53">
        <v>82.54</v>
      </c>
      <c r="K18">
        <f t="shared" si="2"/>
        <v>20280.078000000001</v>
      </c>
      <c r="M18" s="53">
        <v>245.58</v>
      </c>
      <c r="N18" s="53">
        <v>95.82</v>
      </c>
      <c r="O18">
        <f t="shared" si="3"/>
        <v>23531.475599999998</v>
      </c>
      <c r="Q18" s="53">
        <v>245.61</v>
      </c>
      <c r="R18" s="53">
        <v>93.36</v>
      </c>
      <c r="S18">
        <f t="shared" si="4"/>
        <v>22930.149600000001</v>
      </c>
      <c r="U18" s="53">
        <v>245.55</v>
      </c>
      <c r="V18" s="53">
        <v>97.43</v>
      </c>
      <c r="W18">
        <f t="shared" si="5"/>
        <v>23923.936500000003</v>
      </c>
      <c r="Y18" s="53">
        <v>245.61</v>
      </c>
      <c r="Z18" s="53">
        <v>93.73</v>
      </c>
      <c r="AA18">
        <f t="shared" si="6"/>
        <v>23021.025300000001</v>
      </c>
    </row>
    <row r="19" spans="1:27">
      <c r="A19" s="53">
        <v>245.67</v>
      </c>
      <c r="B19" s="53">
        <v>81.22</v>
      </c>
      <c r="C19">
        <f t="shared" si="0"/>
        <v>19953.3174</v>
      </c>
      <c r="E19" s="53">
        <v>245.58</v>
      </c>
      <c r="F19" s="53">
        <v>82.5</v>
      </c>
      <c r="G19">
        <f t="shared" si="1"/>
        <v>20260.350000000002</v>
      </c>
      <c r="I19" s="53">
        <v>245.7</v>
      </c>
      <c r="J19" s="53">
        <v>81.900000000000006</v>
      </c>
      <c r="K19">
        <f t="shared" si="2"/>
        <v>20122.830000000002</v>
      </c>
      <c r="M19" s="53">
        <v>245.61</v>
      </c>
      <c r="N19" s="53">
        <v>96.3</v>
      </c>
      <c r="O19">
        <f t="shared" si="3"/>
        <v>23652.243000000002</v>
      </c>
      <c r="Q19" s="53">
        <v>245.55</v>
      </c>
      <c r="R19" s="53">
        <v>93.25</v>
      </c>
      <c r="S19">
        <f t="shared" si="4"/>
        <v>22897.537500000002</v>
      </c>
      <c r="U19" s="53">
        <v>245.58</v>
      </c>
      <c r="V19" s="53">
        <v>96.91</v>
      </c>
      <c r="W19">
        <f t="shared" si="5"/>
        <v>23799.157800000001</v>
      </c>
      <c r="Y19" s="53">
        <v>245.61</v>
      </c>
      <c r="Z19" s="53">
        <v>92.57</v>
      </c>
      <c r="AA19">
        <f t="shared" si="6"/>
        <v>22736.117699999999</v>
      </c>
    </row>
    <row r="20" spans="1:27">
      <c r="A20" s="53">
        <v>245.7</v>
      </c>
      <c r="B20" s="53">
        <v>82.01</v>
      </c>
      <c r="C20">
        <f t="shared" si="0"/>
        <v>20149.857</v>
      </c>
      <c r="E20" s="53">
        <v>245.61</v>
      </c>
      <c r="F20" s="53">
        <v>82.7</v>
      </c>
      <c r="G20">
        <f t="shared" si="1"/>
        <v>20311.947</v>
      </c>
      <c r="I20" s="53">
        <v>245.7</v>
      </c>
      <c r="J20" s="53">
        <v>80.569999999999993</v>
      </c>
      <c r="K20">
        <f t="shared" si="2"/>
        <v>19796.048999999999</v>
      </c>
      <c r="M20" s="53">
        <v>245.55</v>
      </c>
      <c r="N20" s="53">
        <v>94.84</v>
      </c>
      <c r="O20">
        <f t="shared" si="3"/>
        <v>23287.962000000003</v>
      </c>
      <c r="Q20" s="53">
        <v>245.61</v>
      </c>
      <c r="R20" s="53">
        <v>92.92</v>
      </c>
      <c r="S20">
        <f t="shared" si="4"/>
        <v>22822.081200000001</v>
      </c>
      <c r="U20" s="53">
        <v>245.55</v>
      </c>
      <c r="V20" s="53">
        <v>96.79</v>
      </c>
      <c r="W20">
        <f t="shared" si="5"/>
        <v>23766.784500000002</v>
      </c>
      <c r="Y20" s="53">
        <v>245.61</v>
      </c>
      <c r="Z20" s="53">
        <v>92.12</v>
      </c>
      <c r="AA20">
        <f t="shared" si="6"/>
        <v>22625.593200000003</v>
      </c>
    </row>
    <row r="21" spans="1:27">
      <c r="A21" s="53">
        <v>245.7</v>
      </c>
      <c r="B21" s="53">
        <v>80.150000000000006</v>
      </c>
      <c r="C21">
        <f t="shared" si="0"/>
        <v>19692.855</v>
      </c>
      <c r="E21" s="53">
        <v>245.64</v>
      </c>
      <c r="F21" s="53">
        <v>83.05</v>
      </c>
      <c r="G21">
        <f t="shared" si="1"/>
        <v>20400.401999999998</v>
      </c>
      <c r="I21" s="53">
        <v>245.67</v>
      </c>
      <c r="J21" s="53">
        <v>81.58</v>
      </c>
      <c r="K21">
        <f t="shared" si="2"/>
        <v>20041.758599999997</v>
      </c>
      <c r="M21" s="53">
        <v>245.58</v>
      </c>
      <c r="N21" s="53">
        <v>95.99</v>
      </c>
      <c r="O21">
        <f t="shared" si="3"/>
        <v>23573.224200000001</v>
      </c>
      <c r="Q21" s="53">
        <v>245.82</v>
      </c>
      <c r="R21" s="53">
        <v>93.92</v>
      </c>
      <c r="S21">
        <f t="shared" si="4"/>
        <v>23087.414400000001</v>
      </c>
      <c r="U21" s="53">
        <v>245.55</v>
      </c>
      <c r="V21" s="53">
        <v>96.54</v>
      </c>
      <c r="W21">
        <f t="shared" si="5"/>
        <v>23705.397000000001</v>
      </c>
      <c r="Y21" s="53">
        <v>245.61</v>
      </c>
      <c r="Z21" s="53">
        <v>95.27</v>
      </c>
      <c r="AA21">
        <f t="shared" si="6"/>
        <v>23399.2647</v>
      </c>
    </row>
    <row r="22" spans="1:27">
      <c r="A22" s="53">
        <v>245.67</v>
      </c>
      <c r="B22" s="53">
        <v>81.69</v>
      </c>
      <c r="C22">
        <f t="shared" si="0"/>
        <v>20068.782299999999</v>
      </c>
      <c r="E22" s="53">
        <v>245.61</v>
      </c>
      <c r="F22" s="53">
        <v>83.73</v>
      </c>
      <c r="G22">
        <f t="shared" si="1"/>
        <v>20564.925300000003</v>
      </c>
      <c r="I22" s="53">
        <v>246</v>
      </c>
      <c r="J22" s="53">
        <v>78.849999999999994</v>
      </c>
      <c r="K22">
        <f t="shared" si="2"/>
        <v>19397.099999999999</v>
      </c>
      <c r="M22" s="53">
        <v>245.55</v>
      </c>
      <c r="N22" s="53">
        <v>93.96</v>
      </c>
      <c r="O22">
        <f t="shared" si="3"/>
        <v>23071.878000000001</v>
      </c>
      <c r="Q22" s="53">
        <v>245.61</v>
      </c>
      <c r="R22" s="53">
        <v>90.8</v>
      </c>
      <c r="S22">
        <f t="shared" si="4"/>
        <v>22301.387999999999</v>
      </c>
      <c r="U22" s="53">
        <v>245.58</v>
      </c>
      <c r="V22" s="53">
        <v>97.18</v>
      </c>
      <c r="W22">
        <f t="shared" si="5"/>
        <v>23865.464400000004</v>
      </c>
      <c r="Y22" s="53">
        <v>245.61</v>
      </c>
      <c r="Z22" s="53">
        <v>92.69</v>
      </c>
      <c r="AA22">
        <f t="shared" si="6"/>
        <v>22765.590899999999</v>
      </c>
    </row>
    <row r="23" spans="1:27">
      <c r="A23" s="53">
        <v>245.7</v>
      </c>
      <c r="B23" s="53">
        <v>82.75</v>
      </c>
      <c r="C23">
        <f t="shared" si="0"/>
        <v>20331.674999999999</v>
      </c>
      <c r="E23" s="53">
        <v>245.61</v>
      </c>
      <c r="F23" s="53">
        <v>84.72</v>
      </c>
      <c r="G23">
        <f t="shared" si="1"/>
        <v>20808.0792</v>
      </c>
      <c r="I23" s="53">
        <v>245.7</v>
      </c>
      <c r="J23" s="53">
        <v>85.97</v>
      </c>
      <c r="K23">
        <f t="shared" si="2"/>
        <v>21122.828999999998</v>
      </c>
      <c r="M23" s="53">
        <v>245.58</v>
      </c>
      <c r="N23" s="53">
        <v>96.77</v>
      </c>
      <c r="O23">
        <f t="shared" si="3"/>
        <v>23764.776600000001</v>
      </c>
      <c r="Q23" s="53">
        <v>245.58</v>
      </c>
      <c r="R23" s="53">
        <v>93.41</v>
      </c>
      <c r="S23">
        <f t="shared" si="4"/>
        <v>22939.627800000002</v>
      </c>
      <c r="U23" s="53">
        <v>245.55</v>
      </c>
      <c r="V23" s="53">
        <v>99.23</v>
      </c>
      <c r="W23">
        <f t="shared" si="5"/>
        <v>24365.926500000001</v>
      </c>
      <c r="Y23" s="53">
        <v>245.58</v>
      </c>
      <c r="Z23" s="53">
        <v>93.92</v>
      </c>
      <c r="AA23">
        <f t="shared" si="6"/>
        <v>23064.873600000003</v>
      </c>
    </row>
    <row r="24" spans="1:27">
      <c r="A24" s="53">
        <v>245.94</v>
      </c>
      <c r="B24" s="53">
        <v>85.81</v>
      </c>
      <c r="C24">
        <f t="shared" si="0"/>
        <v>21104.111400000002</v>
      </c>
      <c r="E24" s="53">
        <v>245.64</v>
      </c>
      <c r="F24" s="53">
        <v>87.12</v>
      </c>
      <c r="G24">
        <f t="shared" si="1"/>
        <v>21400.156800000001</v>
      </c>
      <c r="I24" s="53">
        <v>245.7</v>
      </c>
      <c r="J24" s="53">
        <v>83.76</v>
      </c>
      <c r="K24">
        <f t="shared" si="2"/>
        <v>20579.831999999999</v>
      </c>
      <c r="M24" s="53">
        <v>245.58</v>
      </c>
      <c r="N24" s="53">
        <v>97.68</v>
      </c>
      <c r="O24">
        <f t="shared" si="3"/>
        <v>23988.254400000002</v>
      </c>
      <c r="Q24" s="53">
        <v>245.58</v>
      </c>
      <c r="R24" s="53">
        <v>96.61</v>
      </c>
      <c r="S24">
        <f t="shared" si="4"/>
        <v>23725.483800000002</v>
      </c>
      <c r="U24" s="53">
        <v>245.55</v>
      </c>
      <c r="V24" s="53">
        <v>99.52</v>
      </c>
      <c r="W24">
        <f t="shared" si="5"/>
        <v>24437.135999999999</v>
      </c>
      <c r="Y24" s="53">
        <v>245.61</v>
      </c>
      <c r="Z24" s="53">
        <v>93.2</v>
      </c>
      <c r="AA24">
        <f t="shared" si="6"/>
        <v>22890.852000000003</v>
      </c>
    </row>
    <row r="25" spans="1:27">
      <c r="A25" s="53">
        <v>245.7</v>
      </c>
      <c r="B25" s="53">
        <v>87</v>
      </c>
      <c r="C25">
        <f t="shared" si="0"/>
        <v>21375.899999999998</v>
      </c>
      <c r="E25" s="53">
        <v>245.61</v>
      </c>
      <c r="F25" s="53">
        <v>93</v>
      </c>
      <c r="G25">
        <f t="shared" si="1"/>
        <v>22841.73</v>
      </c>
      <c r="I25" s="53">
        <v>245.7</v>
      </c>
      <c r="J25" s="53">
        <v>88.83</v>
      </c>
      <c r="K25">
        <f t="shared" si="2"/>
        <v>21825.530999999999</v>
      </c>
      <c r="M25" s="53">
        <v>245.58</v>
      </c>
      <c r="N25" s="53">
        <v>99.53</v>
      </c>
      <c r="O25">
        <f t="shared" si="3"/>
        <v>24442.577400000002</v>
      </c>
      <c r="Q25" s="53">
        <v>245.61</v>
      </c>
      <c r="R25" s="53">
        <v>96.92</v>
      </c>
      <c r="S25">
        <f t="shared" si="4"/>
        <v>23804.521200000003</v>
      </c>
      <c r="U25" s="53">
        <v>245.85</v>
      </c>
      <c r="V25" s="53">
        <v>98.61</v>
      </c>
      <c r="W25">
        <f t="shared" si="5"/>
        <v>24243.268499999998</v>
      </c>
      <c r="Y25" s="53">
        <v>245.61</v>
      </c>
      <c r="Z25" s="53">
        <v>96.2</v>
      </c>
      <c r="AA25">
        <f t="shared" si="6"/>
        <v>23627.682000000001</v>
      </c>
    </row>
    <row r="26" spans="1:27">
      <c r="A26" s="53">
        <v>245.67</v>
      </c>
      <c r="B26" s="53">
        <v>82.08</v>
      </c>
      <c r="C26">
        <f t="shared" si="0"/>
        <v>20164.5936</v>
      </c>
      <c r="E26" s="53">
        <v>245.61</v>
      </c>
      <c r="F26" s="53">
        <v>87.26</v>
      </c>
      <c r="G26">
        <f t="shared" si="1"/>
        <v>21431.928600000003</v>
      </c>
      <c r="I26" s="53">
        <v>245.73</v>
      </c>
      <c r="J26" s="53">
        <v>88.26</v>
      </c>
      <c r="K26">
        <f t="shared" si="2"/>
        <v>21688.129799999999</v>
      </c>
      <c r="M26" s="53">
        <v>245.88</v>
      </c>
      <c r="N26" s="53">
        <v>91.29</v>
      </c>
      <c r="O26">
        <f t="shared" si="3"/>
        <v>22446.385200000001</v>
      </c>
      <c r="Q26" s="53">
        <v>245.61</v>
      </c>
      <c r="R26" s="53">
        <v>88.82</v>
      </c>
      <c r="S26">
        <f t="shared" si="4"/>
        <v>21815.0802</v>
      </c>
      <c r="U26" s="53">
        <v>245.58</v>
      </c>
      <c r="V26" s="53">
        <v>97.39</v>
      </c>
      <c r="W26">
        <f t="shared" si="5"/>
        <v>23917.036200000002</v>
      </c>
      <c r="Y26" s="53">
        <v>245.58</v>
      </c>
      <c r="Z26" s="53">
        <v>93.97</v>
      </c>
      <c r="AA26">
        <f t="shared" si="6"/>
        <v>23077.152600000001</v>
      </c>
    </row>
    <row r="27" spans="1:27">
      <c r="A27" s="53">
        <v>245.67</v>
      </c>
      <c r="B27" s="53">
        <v>86.45</v>
      </c>
      <c r="C27">
        <f t="shared" si="0"/>
        <v>21238.1715</v>
      </c>
      <c r="E27" s="53">
        <v>245.64</v>
      </c>
      <c r="F27" s="53">
        <v>101.94</v>
      </c>
      <c r="G27">
        <f t="shared" si="1"/>
        <v>25040.541599999997</v>
      </c>
      <c r="I27" s="53">
        <v>245.7</v>
      </c>
      <c r="J27" s="53">
        <v>95.57</v>
      </c>
      <c r="K27">
        <f t="shared" si="2"/>
        <v>23481.548999999995</v>
      </c>
      <c r="M27" s="53">
        <v>245.58</v>
      </c>
      <c r="N27" s="53">
        <v>94.64</v>
      </c>
      <c r="O27">
        <f t="shared" si="3"/>
        <v>23241.691200000001</v>
      </c>
      <c r="Q27" s="53">
        <v>245.61</v>
      </c>
      <c r="R27" s="53">
        <v>94.26</v>
      </c>
      <c r="S27">
        <f t="shared" si="4"/>
        <v>23151.198600000003</v>
      </c>
      <c r="U27" s="53">
        <v>245.58</v>
      </c>
      <c r="V27" s="53">
        <v>103.23</v>
      </c>
      <c r="W27">
        <f t="shared" si="5"/>
        <v>25351.223400000003</v>
      </c>
      <c r="Y27" s="53">
        <v>245.58</v>
      </c>
      <c r="Z27" s="53">
        <v>93.43</v>
      </c>
      <c r="AA27">
        <f t="shared" si="6"/>
        <v>22944.539400000001</v>
      </c>
    </row>
    <row r="28" spans="1:27">
      <c r="A28" s="53">
        <v>245.64</v>
      </c>
      <c r="B28" s="53">
        <v>96.81</v>
      </c>
      <c r="C28">
        <f t="shared" si="0"/>
        <v>23780.4084</v>
      </c>
      <c r="E28" s="53">
        <v>245.91</v>
      </c>
      <c r="F28" s="53">
        <v>122.06</v>
      </c>
      <c r="G28">
        <f t="shared" si="1"/>
        <v>30015.774600000001</v>
      </c>
      <c r="I28" s="53">
        <v>245.73</v>
      </c>
      <c r="J28" s="53">
        <v>103.95</v>
      </c>
      <c r="K28">
        <f t="shared" si="2"/>
        <v>25543.6335</v>
      </c>
      <c r="M28" s="53">
        <v>245.58</v>
      </c>
      <c r="N28" s="53">
        <v>102.49</v>
      </c>
      <c r="O28">
        <f t="shared" si="3"/>
        <v>25169.494200000001</v>
      </c>
      <c r="Q28" s="53">
        <v>245.61</v>
      </c>
      <c r="R28" s="53">
        <v>102.47</v>
      </c>
      <c r="S28">
        <f t="shared" si="4"/>
        <v>25167.6567</v>
      </c>
      <c r="U28" s="53">
        <v>245.58</v>
      </c>
      <c r="V28" s="53">
        <v>103.16</v>
      </c>
      <c r="W28">
        <f t="shared" si="5"/>
        <v>25334.032800000001</v>
      </c>
      <c r="Y28" s="53">
        <v>245.88</v>
      </c>
      <c r="Z28" s="53">
        <v>95.54</v>
      </c>
      <c r="AA28">
        <f t="shared" si="6"/>
        <v>23491.375200000002</v>
      </c>
    </row>
    <row r="29" spans="1:27">
      <c r="A29" s="53">
        <v>245.64</v>
      </c>
      <c r="B29" s="53">
        <v>119.21</v>
      </c>
      <c r="C29">
        <f t="shared" si="0"/>
        <v>29282.744399999996</v>
      </c>
      <c r="E29" s="53">
        <v>245.64</v>
      </c>
      <c r="F29" s="53">
        <v>155.33000000000001</v>
      </c>
      <c r="G29">
        <f t="shared" si="1"/>
        <v>38155.261200000001</v>
      </c>
      <c r="I29" s="53">
        <v>245.7</v>
      </c>
      <c r="J29" s="53">
        <v>121.03</v>
      </c>
      <c r="K29">
        <f t="shared" si="2"/>
        <v>29737.071</v>
      </c>
      <c r="M29" s="53">
        <v>245.58</v>
      </c>
      <c r="N29" s="53">
        <v>131.97999999999999</v>
      </c>
      <c r="O29">
        <f t="shared" si="3"/>
        <v>32411.648399999998</v>
      </c>
      <c r="Q29" s="53">
        <v>245.61</v>
      </c>
      <c r="R29" s="53">
        <v>134.03</v>
      </c>
      <c r="S29">
        <f t="shared" si="4"/>
        <v>32919.1083</v>
      </c>
      <c r="U29" s="53">
        <v>245.58</v>
      </c>
      <c r="V29" s="53">
        <v>101.79</v>
      </c>
      <c r="W29">
        <f t="shared" si="5"/>
        <v>24997.588200000002</v>
      </c>
      <c r="Y29" s="53">
        <v>245.61</v>
      </c>
      <c r="Z29" s="53">
        <v>92.52</v>
      </c>
      <c r="AA29">
        <f t="shared" si="6"/>
        <v>22723.837200000002</v>
      </c>
    </row>
    <row r="30" spans="1:27">
      <c r="A30" s="53">
        <v>245.64</v>
      </c>
      <c r="B30" s="53">
        <v>94.86</v>
      </c>
      <c r="C30">
        <f t="shared" si="0"/>
        <v>23301.410399999997</v>
      </c>
      <c r="E30" s="53">
        <v>245.64</v>
      </c>
      <c r="F30" s="53">
        <v>135.09</v>
      </c>
      <c r="G30">
        <f t="shared" si="1"/>
        <v>33183.507599999997</v>
      </c>
      <c r="I30" s="53">
        <v>245.7</v>
      </c>
      <c r="J30" s="53">
        <v>103.96</v>
      </c>
      <c r="K30">
        <f t="shared" si="2"/>
        <v>25542.971999999998</v>
      </c>
      <c r="M30" s="53">
        <v>245.58</v>
      </c>
      <c r="N30" s="53">
        <v>112.68</v>
      </c>
      <c r="O30">
        <f t="shared" si="3"/>
        <v>27671.954400000002</v>
      </c>
      <c r="Q30" s="53">
        <v>245.88</v>
      </c>
      <c r="R30" s="53">
        <v>133.9</v>
      </c>
      <c r="S30">
        <f t="shared" si="4"/>
        <v>32923.332000000002</v>
      </c>
      <c r="U30" s="53">
        <v>245.58</v>
      </c>
      <c r="V30" s="53">
        <v>100.49</v>
      </c>
      <c r="W30">
        <f t="shared" si="5"/>
        <v>24678.334200000001</v>
      </c>
      <c r="Y30" s="53">
        <v>245.61</v>
      </c>
      <c r="Z30" s="53">
        <v>92.12</v>
      </c>
      <c r="AA30">
        <f t="shared" si="6"/>
        <v>22625.593200000003</v>
      </c>
    </row>
    <row r="31" spans="1:27">
      <c r="A31" s="53">
        <v>245.64</v>
      </c>
      <c r="B31" s="53">
        <v>119.95</v>
      </c>
      <c r="C31">
        <f t="shared" si="0"/>
        <v>29464.518</v>
      </c>
      <c r="E31" s="53">
        <v>245.61</v>
      </c>
      <c r="F31" s="53">
        <v>170.33</v>
      </c>
      <c r="G31">
        <f t="shared" si="1"/>
        <v>41834.751300000004</v>
      </c>
      <c r="I31" s="53">
        <v>245.7</v>
      </c>
      <c r="J31" s="53">
        <v>115.22</v>
      </c>
      <c r="K31">
        <f t="shared" si="2"/>
        <v>28309.554</v>
      </c>
      <c r="M31" s="53">
        <v>245.55</v>
      </c>
      <c r="N31" s="53">
        <v>140.32</v>
      </c>
      <c r="O31">
        <f t="shared" si="3"/>
        <v>34455.576000000001</v>
      </c>
      <c r="Q31" s="53">
        <v>245.64</v>
      </c>
      <c r="R31" s="53">
        <v>150.09</v>
      </c>
      <c r="S31">
        <f t="shared" si="4"/>
        <v>36868.107599999996</v>
      </c>
      <c r="U31" s="53">
        <v>245.55</v>
      </c>
      <c r="V31" s="53">
        <v>102.98</v>
      </c>
      <c r="W31">
        <f t="shared" si="5"/>
        <v>25286.739000000001</v>
      </c>
      <c r="Y31" s="53">
        <v>245.58</v>
      </c>
      <c r="Z31" s="53">
        <v>90.99</v>
      </c>
      <c r="AA31">
        <f t="shared" si="6"/>
        <v>22345.324199999999</v>
      </c>
    </row>
    <row r="32" spans="1:27">
      <c r="A32" s="53">
        <v>245.88</v>
      </c>
      <c r="B32" s="53">
        <v>127.41</v>
      </c>
      <c r="C32">
        <f t="shared" si="0"/>
        <v>31327.570799999998</v>
      </c>
      <c r="E32" s="53">
        <v>245.64</v>
      </c>
      <c r="F32" s="53">
        <v>176.09</v>
      </c>
      <c r="G32">
        <f t="shared" si="1"/>
        <v>43254.747599999995</v>
      </c>
      <c r="I32" s="53">
        <v>245.97</v>
      </c>
      <c r="J32" s="53">
        <v>133.34</v>
      </c>
      <c r="K32">
        <f t="shared" si="2"/>
        <v>32797.639799999997</v>
      </c>
      <c r="M32" s="53">
        <v>245.55</v>
      </c>
      <c r="N32" s="53">
        <v>162.32</v>
      </c>
      <c r="O32">
        <f t="shared" si="3"/>
        <v>39857.675999999999</v>
      </c>
      <c r="Q32" s="53">
        <v>245.61</v>
      </c>
      <c r="R32" s="53">
        <v>175.96</v>
      </c>
      <c r="S32">
        <f t="shared" si="4"/>
        <v>43217.535600000003</v>
      </c>
      <c r="U32" s="53">
        <v>245.58</v>
      </c>
      <c r="V32" s="53">
        <v>103.95</v>
      </c>
      <c r="W32">
        <f t="shared" si="5"/>
        <v>25528.041000000001</v>
      </c>
      <c r="Y32" s="53">
        <v>245.58</v>
      </c>
      <c r="Z32" s="53">
        <v>91.85</v>
      </c>
      <c r="AA32">
        <f t="shared" si="6"/>
        <v>22556.523000000001</v>
      </c>
    </row>
    <row r="33" spans="1:27">
      <c r="A33" s="53">
        <v>245.64</v>
      </c>
      <c r="B33" s="53">
        <v>148.32</v>
      </c>
      <c r="C33">
        <f t="shared" si="0"/>
        <v>36433.324799999995</v>
      </c>
      <c r="E33" s="53">
        <v>245.64</v>
      </c>
      <c r="F33" s="53">
        <v>183.83</v>
      </c>
      <c r="G33">
        <f t="shared" si="1"/>
        <v>45156.001199999999</v>
      </c>
      <c r="I33" s="53">
        <v>245.67</v>
      </c>
      <c r="J33" s="53">
        <v>137.65</v>
      </c>
      <c r="K33">
        <f t="shared" si="2"/>
        <v>33816.4755</v>
      </c>
      <c r="M33" s="53">
        <v>245.58</v>
      </c>
      <c r="N33" s="53">
        <v>168.61</v>
      </c>
      <c r="O33">
        <f t="shared" si="3"/>
        <v>41407.243800000004</v>
      </c>
      <c r="Q33" s="53">
        <v>245.64</v>
      </c>
      <c r="R33" s="53">
        <v>181.94</v>
      </c>
      <c r="S33">
        <f t="shared" si="4"/>
        <v>44691.741599999994</v>
      </c>
      <c r="U33" s="53">
        <v>245.58</v>
      </c>
      <c r="V33" s="53">
        <v>111.77</v>
      </c>
      <c r="W33">
        <f t="shared" si="5"/>
        <v>27448.476600000002</v>
      </c>
      <c r="Y33" s="53">
        <v>245.61</v>
      </c>
      <c r="Z33" s="53">
        <v>91.33</v>
      </c>
      <c r="AA33">
        <f t="shared" si="6"/>
        <v>22431.561300000001</v>
      </c>
    </row>
    <row r="34" spans="1:27">
      <c r="A34" s="53">
        <v>245.64</v>
      </c>
      <c r="B34" s="53">
        <v>136.21</v>
      </c>
      <c r="C34">
        <f t="shared" si="0"/>
        <v>33458.624400000001</v>
      </c>
      <c r="E34" s="53">
        <v>245.61</v>
      </c>
      <c r="F34" s="53">
        <v>151.82</v>
      </c>
      <c r="G34">
        <f t="shared" si="1"/>
        <v>37288.510199999997</v>
      </c>
      <c r="I34" s="53">
        <v>245.7</v>
      </c>
      <c r="J34" s="53">
        <v>179.92</v>
      </c>
      <c r="K34">
        <f t="shared" si="2"/>
        <v>44206.343999999997</v>
      </c>
      <c r="M34" s="53">
        <v>245.58</v>
      </c>
      <c r="N34" s="53">
        <v>181.5</v>
      </c>
      <c r="O34">
        <f t="shared" si="3"/>
        <v>44572.770000000004</v>
      </c>
      <c r="Q34" s="53">
        <v>245.61</v>
      </c>
      <c r="R34" s="53">
        <v>213.08</v>
      </c>
      <c r="S34">
        <f t="shared" si="4"/>
        <v>52334.578800000003</v>
      </c>
      <c r="U34" s="53">
        <v>245.55</v>
      </c>
      <c r="V34" s="53">
        <v>102.69</v>
      </c>
      <c r="W34">
        <f t="shared" si="5"/>
        <v>25215.529500000001</v>
      </c>
      <c r="Y34" s="53">
        <v>245.61</v>
      </c>
      <c r="Z34" s="53">
        <v>97.85</v>
      </c>
      <c r="AA34">
        <f t="shared" si="6"/>
        <v>24032.9385</v>
      </c>
    </row>
    <row r="35" spans="1:27">
      <c r="A35" s="53">
        <v>245.67</v>
      </c>
      <c r="B35" s="53">
        <v>136.55000000000001</v>
      </c>
      <c r="C35">
        <f t="shared" si="0"/>
        <v>33546.238499999999</v>
      </c>
      <c r="E35" s="53">
        <v>245.64</v>
      </c>
      <c r="F35" s="53">
        <v>148.56</v>
      </c>
      <c r="G35">
        <f t="shared" si="1"/>
        <v>36492.278399999996</v>
      </c>
      <c r="I35" s="53">
        <v>245.7</v>
      </c>
      <c r="J35" s="53">
        <v>156.52000000000001</v>
      </c>
      <c r="K35">
        <f t="shared" si="2"/>
        <v>38456.964</v>
      </c>
      <c r="M35" s="53">
        <v>245.55</v>
      </c>
      <c r="N35" s="53">
        <v>147.52000000000001</v>
      </c>
      <c r="O35">
        <f t="shared" si="3"/>
        <v>36223.536000000007</v>
      </c>
      <c r="Q35" s="53">
        <v>245.64</v>
      </c>
      <c r="R35" s="53">
        <v>192.19</v>
      </c>
      <c r="S35">
        <f t="shared" si="4"/>
        <v>47209.551599999999</v>
      </c>
      <c r="U35" s="53">
        <v>245.55</v>
      </c>
      <c r="V35" s="53">
        <v>109.95</v>
      </c>
      <c r="W35">
        <f t="shared" si="5"/>
        <v>26998.222500000003</v>
      </c>
      <c r="Y35" s="53">
        <v>245.58</v>
      </c>
      <c r="Z35" s="53">
        <v>90.23</v>
      </c>
      <c r="AA35">
        <f t="shared" si="6"/>
        <v>22158.683400000002</v>
      </c>
    </row>
    <row r="36" spans="1:27">
      <c r="A36" s="53">
        <v>245.67</v>
      </c>
      <c r="B36" s="53">
        <v>140.11000000000001</v>
      </c>
      <c r="C36">
        <f t="shared" si="0"/>
        <v>34420.823700000001</v>
      </c>
      <c r="E36" s="53">
        <v>245.88</v>
      </c>
      <c r="F36" s="53">
        <v>135.22999999999999</v>
      </c>
      <c r="G36">
        <f t="shared" si="1"/>
        <v>33250.352399999996</v>
      </c>
      <c r="I36" s="53">
        <v>245.7</v>
      </c>
      <c r="J36" s="53">
        <v>140.28</v>
      </c>
      <c r="K36">
        <f t="shared" si="2"/>
        <v>34466.796000000002</v>
      </c>
      <c r="M36" s="53">
        <v>245.58</v>
      </c>
      <c r="N36" s="53">
        <v>128.9</v>
      </c>
      <c r="O36">
        <f t="shared" si="3"/>
        <v>31655.262000000002</v>
      </c>
      <c r="Q36" s="53">
        <v>245.61</v>
      </c>
      <c r="R36" s="53">
        <v>144.61000000000001</v>
      </c>
      <c r="S36">
        <f t="shared" si="4"/>
        <v>35517.662100000009</v>
      </c>
      <c r="U36" s="53">
        <v>245.55</v>
      </c>
      <c r="V36" s="53">
        <v>116.18</v>
      </c>
      <c r="W36">
        <f t="shared" si="5"/>
        <v>28527.999000000003</v>
      </c>
      <c r="Y36" s="53">
        <v>245.61</v>
      </c>
      <c r="Z36" s="53">
        <v>92.89</v>
      </c>
      <c r="AA36">
        <f t="shared" si="6"/>
        <v>22814.712900000002</v>
      </c>
    </row>
    <row r="37" spans="1:27">
      <c r="A37" s="53">
        <v>245.64</v>
      </c>
      <c r="B37" s="53">
        <v>98.06</v>
      </c>
      <c r="C37">
        <f t="shared" si="0"/>
        <v>24087.4584</v>
      </c>
      <c r="E37" s="53">
        <v>245.61</v>
      </c>
      <c r="F37" s="53">
        <v>104.42</v>
      </c>
      <c r="G37">
        <f t="shared" si="1"/>
        <v>25646.596200000004</v>
      </c>
      <c r="I37" s="53">
        <v>245.67</v>
      </c>
      <c r="J37" s="53">
        <v>109.15</v>
      </c>
      <c r="K37">
        <f t="shared" si="2"/>
        <v>26814.880499999999</v>
      </c>
      <c r="M37" s="53">
        <v>245.61</v>
      </c>
      <c r="N37" s="53">
        <v>121.22</v>
      </c>
      <c r="O37">
        <f t="shared" si="3"/>
        <v>29772.844200000003</v>
      </c>
      <c r="Q37" s="53">
        <v>245.61</v>
      </c>
      <c r="R37" s="53">
        <v>145.71</v>
      </c>
      <c r="S37">
        <f t="shared" si="4"/>
        <v>35787.833100000003</v>
      </c>
      <c r="U37" s="53">
        <v>245.55</v>
      </c>
      <c r="V37" s="53">
        <v>117.64</v>
      </c>
      <c r="W37">
        <f t="shared" si="5"/>
        <v>28886.502</v>
      </c>
      <c r="Y37" s="53">
        <v>245.85</v>
      </c>
      <c r="Z37" s="53">
        <v>95.49</v>
      </c>
      <c r="AA37">
        <f t="shared" si="6"/>
        <v>23476.216499999999</v>
      </c>
    </row>
    <row r="38" spans="1:27">
      <c r="A38" s="53">
        <v>245.64</v>
      </c>
      <c r="B38" s="53">
        <v>99.02</v>
      </c>
      <c r="C38">
        <f t="shared" si="0"/>
        <v>24323.272799999999</v>
      </c>
      <c r="E38" s="53">
        <v>245.64</v>
      </c>
      <c r="F38" s="53">
        <v>139.97999999999999</v>
      </c>
      <c r="G38">
        <f t="shared" si="1"/>
        <v>34384.687199999993</v>
      </c>
      <c r="I38" s="53">
        <v>245.7</v>
      </c>
      <c r="J38" s="53">
        <v>152.57</v>
      </c>
      <c r="K38">
        <f t="shared" si="2"/>
        <v>37486.448999999993</v>
      </c>
      <c r="M38" s="53">
        <v>245.85</v>
      </c>
      <c r="N38" s="53">
        <v>145.87</v>
      </c>
      <c r="O38">
        <f t="shared" si="3"/>
        <v>35862.139499999997</v>
      </c>
      <c r="Q38" s="53">
        <v>245.58</v>
      </c>
      <c r="R38" s="53">
        <v>157.78</v>
      </c>
      <c r="S38">
        <f t="shared" si="4"/>
        <v>38747.612400000005</v>
      </c>
      <c r="U38" s="53">
        <v>245.55</v>
      </c>
      <c r="V38" s="53">
        <v>122.19</v>
      </c>
      <c r="W38">
        <f t="shared" si="5"/>
        <v>30003.754499999999</v>
      </c>
      <c r="Y38" s="53">
        <v>245.61</v>
      </c>
      <c r="Z38" s="53">
        <v>102.03</v>
      </c>
      <c r="AA38">
        <f t="shared" si="6"/>
        <v>25059.588300000003</v>
      </c>
    </row>
    <row r="39" spans="1:27">
      <c r="A39" s="53">
        <v>245.64</v>
      </c>
      <c r="B39" s="53">
        <v>86.52</v>
      </c>
      <c r="C39">
        <f t="shared" si="0"/>
        <v>21252.772799999999</v>
      </c>
      <c r="E39" s="53">
        <v>245.64</v>
      </c>
      <c r="F39" s="53">
        <v>118.03</v>
      </c>
      <c r="G39">
        <f t="shared" si="1"/>
        <v>28992.889199999998</v>
      </c>
      <c r="I39" s="53">
        <v>245.67</v>
      </c>
      <c r="J39" s="53">
        <v>123.15</v>
      </c>
      <c r="K39">
        <f t="shared" si="2"/>
        <v>30254.2605</v>
      </c>
      <c r="M39" s="53">
        <v>245.58</v>
      </c>
      <c r="N39" s="53">
        <v>134.49</v>
      </c>
      <c r="O39">
        <f t="shared" si="3"/>
        <v>33028.054200000006</v>
      </c>
      <c r="Q39" s="53">
        <v>245.61</v>
      </c>
      <c r="R39" s="53">
        <v>142.9</v>
      </c>
      <c r="S39">
        <f t="shared" si="4"/>
        <v>35097.669000000002</v>
      </c>
      <c r="U39" s="53">
        <v>245.55</v>
      </c>
      <c r="V39" s="53">
        <v>116.24</v>
      </c>
      <c r="W39">
        <f t="shared" si="5"/>
        <v>28542.732</v>
      </c>
      <c r="Y39" s="53">
        <v>245.61</v>
      </c>
      <c r="Z39" s="53">
        <v>101.69</v>
      </c>
      <c r="AA39">
        <f t="shared" si="6"/>
        <v>24976.080900000001</v>
      </c>
    </row>
    <row r="40" spans="1:27">
      <c r="A40" s="53">
        <v>245.64</v>
      </c>
      <c r="B40" s="53">
        <v>81.25</v>
      </c>
      <c r="C40">
        <f t="shared" si="0"/>
        <v>19958.25</v>
      </c>
      <c r="E40" s="53">
        <v>245.61</v>
      </c>
      <c r="F40" s="53">
        <v>103.96</v>
      </c>
      <c r="G40">
        <f t="shared" si="1"/>
        <v>25533.615600000001</v>
      </c>
      <c r="I40" s="53">
        <v>245.64</v>
      </c>
      <c r="J40" s="53">
        <v>116.46</v>
      </c>
      <c r="K40">
        <f t="shared" si="2"/>
        <v>28607.234399999998</v>
      </c>
      <c r="M40" s="53">
        <v>245.58</v>
      </c>
      <c r="N40" s="53">
        <v>108.85</v>
      </c>
      <c r="O40">
        <f t="shared" si="3"/>
        <v>26731.383000000002</v>
      </c>
      <c r="Q40" s="53">
        <v>245.61</v>
      </c>
      <c r="R40" s="53">
        <v>117.64</v>
      </c>
      <c r="S40">
        <f t="shared" si="4"/>
        <v>28893.560400000002</v>
      </c>
      <c r="U40" s="53">
        <v>245.55</v>
      </c>
      <c r="V40" s="53">
        <v>107.62</v>
      </c>
      <c r="W40">
        <f t="shared" si="5"/>
        <v>26426.091000000004</v>
      </c>
      <c r="Y40" s="53">
        <v>245.61</v>
      </c>
      <c r="Z40" s="53">
        <v>100.63</v>
      </c>
      <c r="AA40">
        <f t="shared" si="6"/>
        <v>24715.7343</v>
      </c>
    </row>
    <row r="41" spans="1:27">
      <c r="A41" s="53">
        <v>245.64</v>
      </c>
      <c r="B41" s="53">
        <v>76.989999999999995</v>
      </c>
      <c r="C41">
        <f t="shared" si="0"/>
        <v>18911.823599999996</v>
      </c>
      <c r="E41" s="53">
        <v>245.61</v>
      </c>
      <c r="F41" s="53">
        <v>98.04</v>
      </c>
      <c r="G41">
        <f t="shared" si="1"/>
        <v>24079.604400000004</v>
      </c>
      <c r="I41" s="53">
        <v>245.67</v>
      </c>
      <c r="J41" s="53">
        <v>101.85</v>
      </c>
      <c r="K41">
        <f t="shared" si="2"/>
        <v>25021.489499999996</v>
      </c>
      <c r="M41" s="53">
        <v>245.55</v>
      </c>
      <c r="N41" s="53">
        <v>92.25</v>
      </c>
      <c r="O41">
        <f t="shared" si="3"/>
        <v>22651.987499999999</v>
      </c>
      <c r="Q41" s="53">
        <v>245.58</v>
      </c>
      <c r="R41" s="53">
        <v>93.69</v>
      </c>
      <c r="S41">
        <f t="shared" si="4"/>
        <v>23008.390200000002</v>
      </c>
      <c r="U41" s="53">
        <v>245.79</v>
      </c>
      <c r="V41" s="53">
        <v>103.88</v>
      </c>
      <c r="W41">
        <f t="shared" si="5"/>
        <v>25532.665199999999</v>
      </c>
      <c r="Y41" s="53">
        <v>245.61</v>
      </c>
      <c r="Z41" s="53">
        <v>98.96</v>
      </c>
      <c r="AA41">
        <f t="shared" si="6"/>
        <v>24305.565599999998</v>
      </c>
    </row>
    <row r="42" spans="1:27">
      <c r="A42" s="53">
        <v>245.64</v>
      </c>
      <c r="B42" s="53">
        <v>79.97</v>
      </c>
      <c r="C42">
        <f t="shared" si="0"/>
        <v>19643.8308</v>
      </c>
      <c r="E42" s="53">
        <v>245.61</v>
      </c>
      <c r="F42" s="53">
        <v>109.49</v>
      </c>
      <c r="G42">
        <f t="shared" si="1"/>
        <v>26891.838899999999</v>
      </c>
      <c r="I42" s="53">
        <v>245.67</v>
      </c>
      <c r="J42" s="53">
        <v>116.74</v>
      </c>
      <c r="K42">
        <f t="shared" si="2"/>
        <v>28679.515799999997</v>
      </c>
      <c r="M42" s="53">
        <v>245.58</v>
      </c>
      <c r="N42" s="53">
        <v>122.37</v>
      </c>
      <c r="O42">
        <f t="shared" si="3"/>
        <v>30051.624600000003</v>
      </c>
      <c r="Q42" s="53">
        <v>245.58</v>
      </c>
      <c r="R42" s="53">
        <v>128.58000000000001</v>
      </c>
      <c r="S42">
        <f t="shared" si="4"/>
        <v>31576.676400000004</v>
      </c>
      <c r="U42" s="53">
        <v>245.55</v>
      </c>
      <c r="V42" s="53">
        <v>123.64</v>
      </c>
      <c r="W42">
        <f t="shared" si="5"/>
        <v>30359.802000000003</v>
      </c>
      <c r="Y42" s="53">
        <v>245.58</v>
      </c>
      <c r="Z42" s="53">
        <v>102.68</v>
      </c>
      <c r="AA42">
        <f t="shared" si="6"/>
        <v>25216.154400000003</v>
      </c>
    </row>
    <row r="43" spans="1:27">
      <c r="A43" s="53">
        <v>245.67</v>
      </c>
      <c r="B43" s="53">
        <v>77</v>
      </c>
      <c r="C43">
        <f t="shared" si="0"/>
        <v>18916.59</v>
      </c>
      <c r="E43" s="53">
        <v>245.64</v>
      </c>
      <c r="F43" s="53">
        <v>100.42</v>
      </c>
      <c r="G43">
        <f t="shared" si="1"/>
        <v>24667.168799999999</v>
      </c>
      <c r="I43" s="53">
        <v>245.64</v>
      </c>
      <c r="J43" s="53">
        <v>111.38</v>
      </c>
      <c r="K43">
        <f t="shared" si="2"/>
        <v>27359.383199999997</v>
      </c>
      <c r="M43" s="53">
        <v>245.58</v>
      </c>
      <c r="N43" s="53">
        <v>102.48</v>
      </c>
      <c r="O43">
        <f t="shared" si="3"/>
        <v>25167.038400000001</v>
      </c>
      <c r="Q43" s="53">
        <v>245.58</v>
      </c>
      <c r="R43" s="53">
        <v>119.43</v>
      </c>
      <c r="S43">
        <f t="shared" si="4"/>
        <v>29329.619400000003</v>
      </c>
      <c r="U43" s="53">
        <v>245.52</v>
      </c>
      <c r="V43" s="53">
        <v>111</v>
      </c>
      <c r="W43">
        <f t="shared" si="5"/>
        <v>27252.720000000001</v>
      </c>
      <c r="Y43" s="53">
        <v>245.61</v>
      </c>
      <c r="Z43" s="53">
        <v>101.87</v>
      </c>
      <c r="AA43">
        <f t="shared" si="6"/>
        <v>25020.290700000001</v>
      </c>
    </row>
    <row r="44" spans="1:27">
      <c r="A44" s="53">
        <v>245.64</v>
      </c>
      <c r="B44" s="53">
        <v>75.78</v>
      </c>
      <c r="C44">
        <f t="shared" si="0"/>
        <v>18614.599200000001</v>
      </c>
      <c r="E44" s="53">
        <v>245.67</v>
      </c>
      <c r="F44" s="53">
        <v>93.89</v>
      </c>
      <c r="G44">
        <f t="shared" si="1"/>
        <v>23065.956299999998</v>
      </c>
      <c r="I44" s="53">
        <v>245.67</v>
      </c>
      <c r="J44" s="53">
        <v>105.15</v>
      </c>
      <c r="K44">
        <f t="shared" si="2"/>
        <v>25832.200499999999</v>
      </c>
      <c r="M44" s="53">
        <v>245.55</v>
      </c>
      <c r="N44" s="53">
        <v>96.86</v>
      </c>
      <c r="O44">
        <f t="shared" si="3"/>
        <v>23783.973000000002</v>
      </c>
      <c r="Q44" s="53">
        <v>245.58</v>
      </c>
      <c r="R44" s="53">
        <v>101.63</v>
      </c>
      <c r="S44">
        <f t="shared" si="4"/>
        <v>24958.295399999999</v>
      </c>
      <c r="U44" s="53">
        <v>245.52</v>
      </c>
      <c r="V44" s="53">
        <v>107.61</v>
      </c>
      <c r="W44">
        <f t="shared" si="5"/>
        <v>26420.407200000001</v>
      </c>
      <c r="Y44" s="53">
        <v>245.61</v>
      </c>
      <c r="Z44" s="53">
        <v>98.62</v>
      </c>
      <c r="AA44">
        <f t="shared" si="6"/>
        <v>24222.058200000003</v>
      </c>
    </row>
    <row r="45" spans="1:27">
      <c r="A45" s="53">
        <v>245.64</v>
      </c>
      <c r="B45" s="53">
        <v>0.01</v>
      </c>
      <c r="C45">
        <f t="shared" si="0"/>
        <v>2.4563999999999999</v>
      </c>
      <c r="E45" s="53">
        <v>245.61</v>
      </c>
      <c r="F45" s="53">
        <v>90.03</v>
      </c>
      <c r="G45">
        <f t="shared" si="1"/>
        <v>22112.2683</v>
      </c>
      <c r="I45" s="53">
        <v>245.64</v>
      </c>
      <c r="J45" s="53">
        <v>96.8</v>
      </c>
      <c r="K45">
        <f t="shared" si="2"/>
        <v>23777.951999999997</v>
      </c>
      <c r="M45" s="53">
        <v>245.58</v>
      </c>
      <c r="N45" s="53">
        <v>89.61</v>
      </c>
      <c r="O45">
        <f t="shared" si="3"/>
        <v>22006.4238</v>
      </c>
      <c r="Q45" s="53">
        <v>245.58</v>
      </c>
      <c r="R45" s="53">
        <v>90.8</v>
      </c>
      <c r="S45">
        <f t="shared" si="4"/>
        <v>22298.664000000001</v>
      </c>
      <c r="U45" s="53">
        <v>245.52</v>
      </c>
      <c r="V45" s="53">
        <v>95.12</v>
      </c>
      <c r="W45">
        <f t="shared" si="5"/>
        <v>23353.862400000002</v>
      </c>
      <c r="Y45" s="53">
        <v>245.61</v>
      </c>
      <c r="Z45" s="53">
        <v>98</v>
      </c>
      <c r="AA45">
        <f t="shared" si="6"/>
        <v>24069.780000000002</v>
      </c>
    </row>
    <row r="46" spans="1:27">
      <c r="A46" s="53">
        <v>245.64</v>
      </c>
      <c r="B46" s="53">
        <v>75.599999999999994</v>
      </c>
      <c r="C46">
        <f t="shared" si="0"/>
        <v>18570.383999999998</v>
      </c>
      <c r="E46" s="53">
        <v>245.64</v>
      </c>
      <c r="F46" s="53">
        <v>90.01</v>
      </c>
      <c r="G46">
        <f t="shared" si="1"/>
        <v>22110.056400000001</v>
      </c>
      <c r="I46" s="53">
        <v>245.61</v>
      </c>
      <c r="J46" s="53">
        <v>110</v>
      </c>
      <c r="K46">
        <f t="shared" si="2"/>
        <v>27017.100000000002</v>
      </c>
      <c r="M46" s="53">
        <v>245.55</v>
      </c>
      <c r="N46" s="53">
        <v>98</v>
      </c>
      <c r="O46">
        <f t="shared" si="3"/>
        <v>24063.9</v>
      </c>
      <c r="Q46" s="53">
        <v>245.88</v>
      </c>
      <c r="R46" s="53">
        <v>105.74</v>
      </c>
      <c r="S46">
        <f t="shared" si="4"/>
        <v>25999.351199999997</v>
      </c>
      <c r="U46" s="53">
        <v>245.52</v>
      </c>
      <c r="V46" s="53">
        <v>110.56</v>
      </c>
      <c r="W46">
        <f t="shared" si="5"/>
        <v>27144.691200000001</v>
      </c>
      <c r="Y46" s="53">
        <v>245.58</v>
      </c>
      <c r="Z46" s="53">
        <v>101.6</v>
      </c>
      <c r="AA46">
        <f t="shared" si="6"/>
        <v>24950.928</v>
      </c>
    </row>
    <row r="47" spans="1:27">
      <c r="A47" s="53">
        <v>245.64</v>
      </c>
      <c r="B47" s="53">
        <v>31.56</v>
      </c>
      <c r="C47">
        <f t="shared" si="0"/>
        <v>7752.3983999999991</v>
      </c>
      <c r="E47" s="53">
        <v>245.61</v>
      </c>
      <c r="F47" s="53">
        <v>91.86</v>
      </c>
      <c r="G47">
        <f t="shared" si="1"/>
        <v>22561.7346</v>
      </c>
      <c r="I47" s="53">
        <v>245.91</v>
      </c>
      <c r="J47" s="53">
        <v>110</v>
      </c>
      <c r="K47">
        <f t="shared" si="2"/>
        <v>27050.1</v>
      </c>
      <c r="M47" s="53">
        <v>245.58</v>
      </c>
      <c r="N47" s="53">
        <v>98</v>
      </c>
      <c r="O47">
        <f t="shared" si="3"/>
        <v>24066.84</v>
      </c>
      <c r="Q47" s="53">
        <v>245.58</v>
      </c>
      <c r="R47" s="53">
        <v>96.83</v>
      </c>
      <c r="S47">
        <f t="shared" si="4"/>
        <v>23779.511399999999</v>
      </c>
      <c r="U47" s="53">
        <v>245.52</v>
      </c>
      <c r="V47" s="53">
        <v>100</v>
      </c>
      <c r="W47">
        <f t="shared" si="5"/>
        <v>24552</v>
      </c>
      <c r="Y47" s="53">
        <v>245.61</v>
      </c>
      <c r="Z47" s="53">
        <v>99.36</v>
      </c>
      <c r="AA47">
        <f t="shared" si="6"/>
        <v>24403.809600000001</v>
      </c>
    </row>
    <row r="48" spans="1:27">
      <c r="A48" s="53">
        <v>245.49</v>
      </c>
      <c r="B48" s="53">
        <v>0.01</v>
      </c>
      <c r="C48">
        <f t="shared" si="0"/>
        <v>2.4549000000000003</v>
      </c>
      <c r="E48" s="53">
        <v>245.64</v>
      </c>
      <c r="F48" s="53">
        <v>90</v>
      </c>
      <c r="G48">
        <f t="shared" si="1"/>
        <v>22107.599999999999</v>
      </c>
      <c r="I48" s="53">
        <v>245.61</v>
      </c>
      <c r="J48" s="53">
        <v>103.96</v>
      </c>
      <c r="K48">
        <f t="shared" si="2"/>
        <v>25533.615600000001</v>
      </c>
      <c r="M48" s="53">
        <v>245.55</v>
      </c>
      <c r="N48" s="53">
        <v>98</v>
      </c>
      <c r="O48">
        <f t="shared" si="3"/>
        <v>24063.9</v>
      </c>
      <c r="Q48" s="53">
        <v>245.58</v>
      </c>
      <c r="R48" s="53">
        <v>91.44</v>
      </c>
      <c r="S48">
        <f t="shared" si="4"/>
        <v>22455.835200000001</v>
      </c>
      <c r="U48" s="53">
        <v>245.55</v>
      </c>
      <c r="V48" s="53">
        <v>100</v>
      </c>
      <c r="W48">
        <f t="shared" si="5"/>
        <v>24555</v>
      </c>
      <c r="Y48" s="53">
        <v>245.58</v>
      </c>
      <c r="Z48" s="53">
        <v>96.89</v>
      </c>
      <c r="AA48">
        <f t="shared" si="6"/>
        <v>23794.246200000001</v>
      </c>
    </row>
    <row r="49" spans="1:27">
      <c r="A49" s="53">
        <v>245.52</v>
      </c>
      <c r="B49" s="53">
        <v>0</v>
      </c>
      <c r="C49">
        <f t="shared" si="0"/>
        <v>0</v>
      </c>
      <c r="E49" s="53">
        <v>245.61</v>
      </c>
      <c r="F49" s="53">
        <v>89.99</v>
      </c>
      <c r="G49">
        <f t="shared" si="1"/>
        <v>22102.443899999998</v>
      </c>
      <c r="I49" s="53">
        <v>245.61</v>
      </c>
      <c r="J49" s="53">
        <v>94.13</v>
      </c>
      <c r="K49">
        <f t="shared" si="2"/>
        <v>23119.2693</v>
      </c>
      <c r="M49" s="53">
        <v>245.37</v>
      </c>
      <c r="N49" s="53">
        <v>98</v>
      </c>
      <c r="O49">
        <f t="shared" si="3"/>
        <v>24046.260000000002</v>
      </c>
      <c r="Q49" s="53">
        <v>245.58</v>
      </c>
      <c r="R49" s="53">
        <v>90.01</v>
      </c>
      <c r="S49">
        <f t="shared" si="4"/>
        <v>22104.655800000004</v>
      </c>
      <c r="U49" s="53">
        <v>245.49</v>
      </c>
      <c r="V49" s="53">
        <v>100</v>
      </c>
      <c r="W49">
        <f t="shared" si="5"/>
        <v>24549</v>
      </c>
      <c r="Y49" s="53">
        <v>245.58</v>
      </c>
      <c r="Z49" s="53">
        <v>95</v>
      </c>
      <c r="AA49">
        <f t="shared" si="6"/>
        <v>23330.100000000002</v>
      </c>
    </row>
    <row r="50" spans="1:27">
      <c r="A50" s="53">
        <v>245.19</v>
      </c>
      <c r="B50" s="53">
        <v>12.45</v>
      </c>
      <c r="C50">
        <f t="shared" si="0"/>
        <v>3052.6154999999999</v>
      </c>
      <c r="E50" s="53">
        <v>245.64</v>
      </c>
      <c r="F50" s="53">
        <v>87.98</v>
      </c>
      <c r="G50">
        <f t="shared" si="1"/>
        <v>21611.407200000001</v>
      </c>
      <c r="I50" s="53">
        <v>245.58</v>
      </c>
      <c r="J50" s="53">
        <v>99.1</v>
      </c>
      <c r="K50">
        <f t="shared" si="2"/>
        <v>24336.977999999999</v>
      </c>
      <c r="M50" s="53">
        <v>245.19</v>
      </c>
      <c r="N50" s="53">
        <v>89.92</v>
      </c>
      <c r="O50">
        <f t="shared" si="3"/>
        <v>22047.484800000002</v>
      </c>
      <c r="Q50" s="53">
        <v>245.61</v>
      </c>
      <c r="R50" s="53">
        <v>94.8</v>
      </c>
      <c r="S50">
        <f t="shared" si="4"/>
        <v>23283.828000000001</v>
      </c>
      <c r="U50" s="53">
        <v>245.79</v>
      </c>
      <c r="V50" s="53">
        <v>105.79</v>
      </c>
      <c r="W50">
        <f t="shared" si="5"/>
        <v>26002.124100000001</v>
      </c>
      <c r="Y50" s="53">
        <v>245.37</v>
      </c>
      <c r="Z50" s="53">
        <v>102.22</v>
      </c>
      <c r="AA50">
        <f t="shared" si="6"/>
        <v>25081.721399999999</v>
      </c>
    </row>
    <row r="51" spans="1:27">
      <c r="A51" s="53">
        <v>245.19</v>
      </c>
      <c r="B51" s="53">
        <v>47.42</v>
      </c>
      <c r="C51">
        <f t="shared" si="0"/>
        <v>11626.909799999999</v>
      </c>
      <c r="E51" s="53">
        <v>245.64</v>
      </c>
      <c r="F51" s="53">
        <v>87.82</v>
      </c>
      <c r="G51">
        <f t="shared" si="1"/>
        <v>21572.104799999997</v>
      </c>
      <c r="I51" s="53">
        <v>245.61</v>
      </c>
      <c r="J51" s="53">
        <v>96.74</v>
      </c>
      <c r="K51">
        <f t="shared" si="2"/>
        <v>23760.311399999999</v>
      </c>
      <c r="M51" s="53">
        <v>245.43</v>
      </c>
      <c r="N51" s="53">
        <v>94.01</v>
      </c>
      <c r="O51">
        <f t="shared" si="3"/>
        <v>23072.874300000003</v>
      </c>
      <c r="Q51" s="53">
        <v>245.49</v>
      </c>
      <c r="R51" s="53">
        <v>96.95</v>
      </c>
      <c r="S51">
        <f t="shared" si="4"/>
        <v>23800.255500000003</v>
      </c>
      <c r="U51" s="53">
        <v>245.49</v>
      </c>
      <c r="V51" s="53">
        <v>102.16</v>
      </c>
      <c r="W51">
        <f t="shared" si="5"/>
        <v>25079.258399999999</v>
      </c>
      <c r="Y51" s="53">
        <v>245.16</v>
      </c>
      <c r="Z51" s="53">
        <v>101.88</v>
      </c>
      <c r="AA51">
        <f t="shared" si="6"/>
        <v>24976.900799999999</v>
      </c>
    </row>
    <row r="52" spans="1:27">
      <c r="A52" s="53">
        <v>245.22</v>
      </c>
      <c r="B52" s="53">
        <v>59.74</v>
      </c>
      <c r="C52">
        <f t="shared" si="0"/>
        <v>14649.442800000001</v>
      </c>
      <c r="E52" s="53">
        <v>245.64</v>
      </c>
      <c r="F52" s="53">
        <v>88.34</v>
      </c>
      <c r="G52">
        <f t="shared" si="1"/>
        <v>21699.837599999999</v>
      </c>
      <c r="I52" s="53">
        <v>245.58</v>
      </c>
      <c r="J52" s="53">
        <v>96.95</v>
      </c>
      <c r="K52">
        <f t="shared" si="2"/>
        <v>23808.981000000003</v>
      </c>
      <c r="M52" s="53">
        <v>245.16</v>
      </c>
      <c r="N52" s="53">
        <v>97.07</v>
      </c>
      <c r="O52">
        <f t="shared" si="3"/>
        <v>23797.681199999999</v>
      </c>
      <c r="Q52" s="53">
        <v>245.43</v>
      </c>
      <c r="R52" s="53">
        <v>101.31</v>
      </c>
      <c r="S52">
        <f t="shared" si="4"/>
        <v>24864.513300000002</v>
      </c>
      <c r="U52" s="53">
        <v>245.49</v>
      </c>
      <c r="V52" s="53">
        <v>101.52</v>
      </c>
      <c r="W52">
        <f t="shared" si="5"/>
        <v>24922.144799999998</v>
      </c>
      <c r="Y52" s="53">
        <v>245.19</v>
      </c>
      <c r="Z52" s="53">
        <v>99.91</v>
      </c>
      <c r="AA52">
        <f t="shared" si="6"/>
        <v>24496.9329</v>
      </c>
    </row>
    <row r="53" spans="1:27">
      <c r="A53" s="53">
        <v>245.22</v>
      </c>
      <c r="B53" s="53">
        <v>76.27</v>
      </c>
      <c r="C53">
        <f t="shared" si="0"/>
        <v>18702.929399999997</v>
      </c>
      <c r="E53" s="53">
        <v>245.91</v>
      </c>
      <c r="F53" s="53">
        <v>89.99</v>
      </c>
      <c r="G53">
        <f t="shared" si="1"/>
        <v>22129.440899999998</v>
      </c>
      <c r="I53" s="53">
        <v>245.58</v>
      </c>
      <c r="J53" s="53">
        <v>91.91</v>
      </c>
      <c r="K53">
        <f t="shared" si="2"/>
        <v>22571.257799999999</v>
      </c>
      <c r="M53" s="53">
        <v>245.16</v>
      </c>
      <c r="N53" s="53">
        <v>98</v>
      </c>
      <c r="O53">
        <f t="shared" si="3"/>
        <v>24025.68</v>
      </c>
      <c r="Q53" s="53">
        <v>245.4</v>
      </c>
      <c r="R53" s="53">
        <v>98.86</v>
      </c>
      <c r="S53">
        <f t="shared" si="4"/>
        <v>24260.243999999999</v>
      </c>
      <c r="U53" s="53">
        <v>245.52</v>
      </c>
      <c r="V53" s="53">
        <v>100.69</v>
      </c>
      <c r="W53">
        <f t="shared" si="5"/>
        <v>24721.408800000001</v>
      </c>
      <c r="Y53" s="53">
        <v>245.43</v>
      </c>
      <c r="Z53" s="53">
        <v>98.49</v>
      </c>
      <c r="AA53">
        <f t="shared" si="6"/>
        <v>24172.400699999998</v>
      </c>
    </row>
    <row r="54" spans="1:27">
      <c r="A54" s="53">
        <v>245.22</v>
      </c>
      <c r="B54" s="53">
        <v>75.489999999999995</v>
      </c>
      <c r="C54">
        <f t="shared" si="0"/>
        <v>18511.657799999997</v>
      </c>
      <c r="E54" s="53">
        <v>245.64</v>
      </c>
      <c r="F54" s="53">
        <v>94.92</v>
      </c>
      <c r="G54">
        <f t="shared" si="1"/>
        <v>23316.148799999999</v>
      </c>
      <c r="I54" s="53">
        <v>245.61</v>
      </c>
      <c r="J54" s="53">
        <v>97.45</v>
      </c>
      <c r="K54">
        <f t="shared" si="2"/>
        <v>23934.694500000001</v>
      </c>
      <c r="M54" s="53">
        <v>245.16</v>
      </c>
      <c r="N54" s="53">
        <v>93.62</v>
      </c>
      <c r="O54">
        <f t="shared" si="3"/>
        <v>22951.879199999999</v>
      </c>
      <c r="Q54" s="53">
        <v>245.4</v>
      </c>
      <c r="R54" s="53">
        <v>93.59</v>
      </c>
      <c r="S54">
        <f t="shared" si="4"/>
        <v>22966.986000000001</v>
      </c>
      <c r="U54" s="53">
        <v>245.55</v>
      </c>
      <c r="V54" s="53">
        <v>97</v>
      </c>
      <c r="W54">
        <f t="shared" si="5"/>
        <v>23818.350000000002</v>
      </c>
      <c r="Y54" s="53">
        <v>245.16</v>
      </c>
      <c r="Z54" s="53">
        <v>102.24</v>
      </c>
      <c r="AA54">
        <f t="shared" si="6"/>
        <v>25065.158399999997</v>
      </c>
    </row>
    <row r="55" spans="1:27">
      <c r="A55" s="53">
        <v>245.19</v>
      </c>
      <c r="B55" s="53">
        <v>78.22</v>
      </c>
      <c r="C55">
        <f t="shared" si="0"/>
        <v>19178.7618</v>
      </c>
      <c r="E55" s="53">
        <v>245.64</v>
      </c>
      <c r="F55" s="53">
        <v>97</v>
      </c>
      <c r="G55">
        <f t="shared" si="1"/>
        <v>23827.079999999998</v>
      </c>
      <c r="I55" s="53">
        <v>245.61</v>
      </c>
      <c r="J55" s="53">
        <v>92.01</v>
      </c>
      <c r="K55">
        <f t="shared" si="2"/>
        <v>22598.576100000002</v>
      </c>
      <c r="M55" s="53">
        <v>245.16</v>
      </c>
      <c r="N55" s="53">
        <v>92.49</v>
      </c>
      <c r="O55">
        <f t="shared" si="3"/>
        <v>22674.848399999999</v>
      </c>
      <c r="Q55" s="53">
        <v>245.43</v>
      </c>
      <c r="R55" s="53">
        <v>92.38</v>
      </c>
      <c r="S55">
        <f t="shared" si="4"/>
        <v>22672.823400000001</v>
      </c>
      <c r="U55" s="53">
        <v>245.55</v>
      </c>
      <c r="V55" s="53">
        <v>97.36</v>
      </c>
      <c r="W55">
        <f t="shared" si="5"/>
        <v>23906.748</v>
      </c>
      <c r="Y55" s="53">
        <v>245.16</v>
      </c>
      <c r="Z55" s="53">
        <v>101.59</v>
      </c>
      <c r="AA55">
        <f t="shared" si="6"/>
        <v>24905.804400000001</v>
      </c>
    </row>
    <row r="56" spans="1:27">
      <c r="A56" s="53">
        <v>245.22</v>
      </c>
      <c r="B56" s="53">
        <v>79.73</v>
      </c>
      <c r="C56">
        <f t="shared" si="0"/>
        <v>19551.390600000002</v>
      </c>
      <c r="E56" s="53">
        <v>245.67</v>
      </c>
      <c r="F56" s="53">
        <v>94.95</v>
      </c>
      <c r="G56">
        <f t="shared" si="1"/>
        <v>23326.3665</v>
      </c>
      <c r="I56" s="53">
        <v>245.58</v>
      </c>
      <c r="J56" s="53">
        <v>89.23</v>
      </c>
      <c r="K56">
        <f t="shared" si="2"/>
        <v>21913.103400000004</v>
      </c>
      <c r="M56" s="53">
        <v>245.19</v>
      </c>
      <c r="N56" s="53">
        <v>96.77</v>
      </c>
      <c r="O56">
        <f t="shared" si="3"/>
        <v>23727.0363</v>
      </c>
      <c r="Q56" s="53">
        <v>245.58</v>
      </c>
      <c r="R56" s="53">
        <v>91.68</v>
      </c>
      <c r="S56">
        <f t="shared" si="4"/>
        <v>22514.774400000002</v>
      </c>
      <c r="U56" s="53">
        <v>245.52</v>
      </c>
      <c r="V56" s="53">
        <v>100.09</v>
      </c>
      <c r="W56">
        <f t="shared" si="5"/>
        <v>24574.096800000003</v>
      </c>
      <c r="Y56" s="53">
        <v>245.19</v>
      </c>
      <c r="Z56" s="53">
        <v>98.83</v>
      </c>
      <c r="AA56">
        <f t="shared" si="6"/>
        <v>24232.127700000001</v>
      </c>
    </row>
    <row r="57" spans="1:27">
      <c r="A57" s="53">
        <v>245.22</v>
      </c>
      <c r="B57" s="53">
        <v>81.73</v>
      </c>
      <c r="C57">
        <f t="shared" si="0"/>
        <v>20041.830600000001</v>
      </c>
      <c r="E57" s="53">
        <v>245.67</v>
      </c>
      <c r="F57" s="53">
        <v>97.11</v>
      </c>
      <c r="G57">
        <f t="shared" si="1"/>
        <v>23857.0137</v>
      </c>
      <c r="I57" s="53">
        <v>245.88</v>
      </c>
      <c r="J57" s="53">
        <v>88.68</v>
      </c>
      <c r="K57">
        <f t="shared" si="2"/>
        <v>21804.6384</v>
      </c>
      <c r="M57" s="53">
        <v>245.49</v>
      </c>
      <c r="N57" s="53">
        <v>94.75</v>
      </c>
      <c r="O57">
        <f t="shared" si="3"/>
        <v>23260.177500000002</v>
      </c>
      <c r="Q57" s="53">
        <v>245.13</v>
      </c>
      <c r="R57" s="53">
        <v>92.17</v>
      </c>
      <c r="S57">
        <f t="shared" si="4"/>
        <v>22593.632099999999</v>
      </c>
      <c r="U57" s="53">
        <v>245.55</v>
      </c>
      <c r="V57" s="53">
        <v>100.94</v>
      </c>
      <c r="W57">
        <f t="shared" si="5"/>
        <v>24785.816999999999</v>
      </c>
      <c r="Y57" s="53">
        <v>245.16</v>
      </c>
      <c r="Z57" s="53">
        <v>101.61</v>
      </c>
      <c r="AA57">
        <f t="shared" si="6"/>
        <v>24910.707599999998</v>
      </c>
    </row>
    <row r="58" spans="1:27">
      <c r="A58" s="53">
        <v>245.49</v>
      </c>
      <c r="B58" s="53">
        <v>82.12</v>
      </c>
      <c r="C58">
        <f t="shared" si="0"/>
        <v>20159.638800000001</v>
      </c>
      <c r="E58" s="53">
        <v>245.64</v>
      </c>
      <c r="F58" s="53">
        <v>86.51</v>
      </c>
      <c r="G58">
        <f t="shared" si="1"/>
        <v>21250.3164</v>
      </c>
      <c r="I58" s="53">
        <v>245.61</v>
      </c>
      <c r="J58" s="53">
        <v>93.33</v>
      </c>
      <c r="K58">
        <f t="shared" si="2"/>
        <v>22922.781300000002</v>
      </c>
      <c r="M58" s="53">
        <v>245.58</v>
      </c>
      <c r="N58" s="53">
        <v>89</v>
      </c>
      <c r="O58">
        <f t="shared" si="3"/>
        <v>21856.620000000003</v>
      </c>
      <c r="Q58" s="53">
        <v>245.1</v>
      </c>
      <c r="R58" s="53">
        <v>90.71</v>
      </c>
      <c r="S58">
        <f t="shared" si="4"/>
        <v>22233.020999999997</v>
      </c>
      <c r="U58" s="53">
        <v>245.55</v>
      </c>
      <c r="V58" s="53">
        <v>100</v>
      </c>
      <c r="W58">
        <f t="shared" si="5"/>
        <v>24555</v>
      </c>
      <c r="Y58" s="53">
        <v>245.16</v>
      </c>
      <c r="Z58" s="53">
        <v>102.09</v>
      </c>
      <c r="AA58">
        <f t="shared" si="6"/>
        <v>25028.384399999999</v>
      </c>
    </row>
    <row r="59" spans="1:27">
      <c r="A59" s="53">
        <v>125.52</v>
      </c>
      <c r="B59" s="53">
        <v>84.65</v>
      </c>
      <c r="C59">
        <f t="shared" si="0"/>
        <v>10625.268</v>
      </c>
      <c r="E59" s="53">
        <v>245.64</v>
      </c>
      <c r="F59" s="53">
        <v>87.55</v>
      </c>
      <c r="G59">
        <f t="shared" si="1"/>
        <v>21505.781999999999</v>
      </c>
      <c r="I59" s="53">
        <v>245.61</v>
      </c>
      <c r="J59" s="53">
        <v>90.57</v>
      </c>
      <c r="K59">
        <f t="shared" si="2"/>
        <v>22244.897700000001</v>
      </c>
      <c r="M59" s="53">
        <v>245.58</v>
      </c>
      <c r="N59" s="53">
        <v>94.04</v>
      </c>
      <c r="O59">
        <f t="shared" si="3"/>
        <v>23094.343200000003</v>
      </c>
      <c r="Q59" s="53">
        <v>245.1</v>
      </c>
      <c r="R59" s="53">
        <v>93.18</v>
      </c>
      <c r="S59">
        <f t="shared" si="4"/>
        <v>22838.418000000001</v>
      </c>
      <c r="U59" s="53">
        <v>245.52</v>
      </c>
      <c r="V59" s="53">
        <v>100</v>
      </c>
      <c r="W59">
        <f t="shared" si="5"/>
        <v>24552</v>
      </c>
      <c r="Y59" s="53">
        <v>245.19</v>
      </c>
      <c r="Z59" s="53">
        <v>102.24</v>
      </c>
      <c r="AA59">
        <f t="shared" si="6"/>
        <v>25068.225599999998</v>
      </c>
    </row>
    <row r="60" spans="1:27">
      <c r="A60" s="53">
        <v>0</v>
      </c>
      <c r="B60" s="53">
        <v>89.42</v>
      </c>
      <c r="C60">
        <f t="shared" si="0"/>
        <v>0</v>
      </c>
      <c r="E60" s="53">
        <v>245.64</v>
      </c>
      <c r="F60" s="53">
        <v>89.7</v>
      </c>
      <c r="G60">
        <f t="shared" si="1"/>
        <v>22033.907999999999</v>
      </c>
      <c r="I60" s="53">
        <v>245.61</v>
      </c>
      <c r="J60" s="53">
        <v>91.67</v>
      </c>
      <c r="K60">
        <f t="shared" si="2"/>
        <v>22515.068700000003</v>
      </c>
      <c r="M60" s="53">
        <v>245.67</v>
      </c>
      <c r="N60" s="53">
        <v>95.48</v>
      </c>
      <c r="O60">
        <f t="shared" si="3"/>
        <v>23456.571599999999</v>
      </c>
      <c r="Q60" s="53">
        <v>245.13</v>
      </c>
      <c r="R60" s="53">
        <v>96.45</v>
      </c>
      <c r="S60">
        <f t="shared" si="4"/>
        <v>23642.788499999999</v>
      </c>
      <c r="U60" s="53">
        <v>245.52</v>
      </c>
      <c r="V60" s="53">
        <v>101.16</v>
      </c>
      <c r="W60">
        <f t="shared" si="5"/>
        <v>24836.803199999998</v>
      </c>
      <c r="Y60" s="53">
        <v>245.13</v>
      </c>
      <c r="Z60" s="53">
        <v>103.95</v>
      </c>
      <c r="AA60">
        <f t="shared" si="6"/>
        <v>25481.263500000001</v>
      </c>
    </row>
    <row r="61" spans="1:27">
      <c r="A61" s="53">
        <v>127.62</v>
      </c>
      <c r="B61" s="53">
        <v>93</v>
      </c>
      <c r="C61">
        <f t="shared" si="0"/>
        <v>11868.66</v>
      </c>
      <c r="E61" s="53">
        <v>245.88</v>
      </c>
      <c r="F61" s="53">
        <v>93.95</v>
      </c>
      <c r="G61">
        <f t="shared" si="1"/>
        <v>23100.425999999999</v>
      </c>
      <c r="I61" s="53">
        <v>245.61</v>
      </c>
      <c r="J61" s="53">
        <v>99.62</v>
      </c>
      <c r="K61">
        <f t="shared" si="2"/>
        <v>24467.668200000004</v>
      </c>
      <c r="M61" s="53">
        <v>245.67</v>
      </c>
      <c r="N61" s="53">
        <v>98</v>
      </c>
      <c r="O61">
        <f t="shared" si="3"/>
        <v>24075.66</v>
      </c>
      <c r="Q61" s="53">
        <v>245.13</v>
      </c>
      <c r="R61" s="53">
        <v>98.78</v>
      </c>
      <c r="S61">
        <f t="shared" si="4"/>
        <v>24213.9414</v>
      </c>
      <c r="U61" s="53">
        <v>245.55</v>
      </c>
      <c r="V61" s="53">
        <v>109.2</v>
      </c>
      <c r="W61">
        <f t="shared" si="5"/>
        <v>26814.06</v>
      </c>
      <c r="Y61" s="53">
        <v>245.16</v>
      </c>
      <c r="Z61" s="53">
        <v>104.41</v>
      </c>
      <c r="AA61">
        <f t="shared" si="6"/>
        <v>25597.155599999998</v>
      </c>
    </row>
    <row r="62" spans="1:27">
      <c r="A62" s="53">
        <v>243.75</v>
      </c>
      <c r="B62" s="53">
        <v>84.82</v>
      </c>
      <c r="C62">
        <f t="shared" si="0"/>
        <v>20674.875</v>
      </c>
      <c r="E62" s="53">
        <v>245.64</v>
      </c>
      <c r="F62" s="53">
        <v>89.69</v>
      </c>
      <c r="G62">
        <f t="shared" si="1"/>
        <v>22031.451599999997</v>
      </c>
      <c r="I62" s="53">
        <v>245.58</v>
      </c>
      <c r="J62" s="53">
        <v>86.4</v>
      </c>
      <c r="K62">
        <f t="shared" si="2"/>
        <v>21218.112000000001</v>
      </c>
      <c r="M62" s="53">
        <v>245.67</v>
      </c>
      <c r="N62" s="53">
        <v>91.54</v>
      </c>
      <c r="O62">
        <f t="shared" si="3"/>
        <v>22488.631799999999</v>
      </c>
      <c r="Q62" s="53">
        <v>245.13</v>
      </c>
      <c r="R62" s="53">
        <v>82.79</v>
      </c>
      <c r="S62">
        <f t="shared" si="4"/>
        <v>20294.312700000002</v>
      </c>
      <c r="U62" s="53">
        <v>245.55</v>
      </c>
      <c r="V62" s="53">
        <v>89.14</v>
      </c>
      <c r="W62">
        <f t="shared" si="5"/>
        <v>21888.327000000001</v>
      </c>
      <c r="Y62" s="53">
        <v>245.43</v>
      </c>
      <c r="Z62" s="53">
        <v>99.39</v>
      </c>
      <c r="AA62">
        <f t="shared" si="6"/>
        <v>24393.287700000001</v>
      </c>
    </row>
    <row r="63" spans="1:27">
      <c r="A63" s="53">
        <v>244.77</v>
      </c>
      <c r="B63" s="53">
        <v>95.97</v>
      </c>
      <c r="C63">
        <f t="shared" si="0"/>
        <v>23490.5769</v>
      </c>
      <c r="E63" s="53">
        <v>245.64</v>
      </c>
      <c r="F63" s="53">
        <v>97.85</v>
      </c>
      <c r="G63">
        <f t="shared" si="1"/>
        <v>24035.873999999996</v>
      </c>
      <c r="I63" s="53">
        <v>245.64</v>
      </c>
      <c r="J63" s="53">
        <v>98.96</v>
      </c>
      <c r="K63">
        <f t="shared" si="2"/>
        <v>24308.534399999997</v>
      </c>
      <c r="M63" s="53">
        <v>245.61</v>
      </c>
      <c r="N63" s="53">
        <v>96.27</v>
      </c>
      <c r="O63">
        <f t="shared" si="3"/>
        <v>23644.8747</v>
      </c>
      <c r="Q63" s="53">
        <v>245.16</v>
      </c>
      <c r="R63" s="53">
        <v>101.56</v>
      </c>
      <c r="S63">
        <f t="shared" si="4"/>
        <v>24898.4496</v>
      </c>
      <c r="U63" s="53">
        <v>245.52</v>
      </c>
      <c r="V63" s="53">
        <v>100.46</v>
      </c>
      <c r="W63">
        <f t="shared" si="5"/>
        <v>24664.939200000001</v>
      </c>
      <c r="Y63" s="53">
        <v>245.13</v>
      </c>
      <c r="Z63" s="53">
        <v>101.27</v>
      </c>
      <c r="AA63">
        <f t="shared" si="6"/>
        <v>24824.3151</v>
      </c>
    </row>
    <row r="64" spans="1:27">
      <c r="A64" s="53">
        <v>245.19</v>
      </c>
      <c r="B64" s="53">
        <v>118.93</v>
      </c>
      <c r="C64">
        <f t="shared" si="0"/>
        <v>29160.4467</v>
      </c>
      <c r="E64" s="53">
        <v>245.67</v>
      </c>
      <c r="F64" s="53">
        <v>103.96</v>
      </c>
      <c r="G64">
        <f t="shared" si="1"/>
        <v>25539.853199999998</v>
      </c>
      <c r="I64" s="53">
        <v>245.58</v>
      </c>
      <c r="J64" s="53">
        <v>108.25</v>
      </c>
      <c r="K64">
        <f t="shared" si="2"/>
        <v>26584.035</v>
      </c>
      <c r="M64" s="53">
        <v>245.58</v>
      </c>
      <c r="N64" s="53">
        <v>98.51</v>
      </c>
      <c r="O64">
        <f t="shared" si="3"/>
        <v>24192.085800000001</v>
      </c>
      <c r="Q64" s="53">
        <v>245.16</v>
      </c>
      <c r="R64" s="53">
        <v>120.23</v>
      </c>
      <c r="S64">
        <f t="shared" si="4"/>
        <v>29475.586800000001</v>
      </c>
      <c r="U64" s="53">
        <v>245.55</v>
      </c>
      <c r="V64" s="53">
        <v>105.21</v>
      </c>
      <c r="W64">
        <f t="shared" si="5"/>
        <v>25834.315500000001</v>
      </c>
      <c r="Y64" s="53">
        <v>245.16</v>
      </c>
      <c r="Z64" s="53">
        <v>108.79</v>
      </c>
      <c r="AA64">
        <f t="shared" si="6"/>
        <v>26670.956400000003</v>
      </c>
    </row>
    <row r="65" spans="1:27">
      <c r="A65" s="53">
        <v>245.19</v>
      </c>
      <c r="B65" s="53">
        <v>134.31</v>
      </c>
      <c r="C65">
        <f t="shared" si="0"/>
        <v>32931.4689</v>
      </c>
      <c r="E65" s="53">
        <v>245.67</v>
      </c>
      <c r="F65" s="53">
        <v>153.29</v>
      </c>
      <c r="G65">
        <f t="shared" si="1"/>
        <v>37658.754299999993</v>
      </c>
      <c r="I65" s="53">
        <v>245.61</v>
      </c>
      <c r="J65" s="53">
        <v>138.94</v>
      </c>
      <c r="K65">
        <f t="shared" si="2"/>
        <v>34125.053400000004</v>
      </c>
      <c r="M65" s="53">
        <v>245.37</v>
      </c>
      <c r="N65" s="53">
        <v>134.53</v>
      </c>
      <c r="O65">
        <f t="shared" si="3"/>
        <v>33009.626100000001</v>
      </c>
      <c r="Q65" s="53">
        <v>245.16</v>
      </c>
      <c r="R65" s="53">
        <v>176.3</v>
      </c>
      <c r="S65">
        <f t="shared" si="4"/>
        <v>43221.707999999999</v>
      </c>
      <c r="U65" s="53">
        <v>245.55</v>
      </c>
      <c r="V65" s="53">
        <v>123.01</v>
      </c>
      <c r="W65">
        <f t="shared" si="5"/>
        <v>30205.105500000001</v>
      </c>
      <c r="Y65" s="53">
        <v>245.16</v>
      </c>
      <c r="Z65" s="53">
        <v>110.95</v>
      </c>
      <c r="AA65">
        <f t="shared" si="6"/>
        <v>27200.502</v>
      </c>
    </row>
    <row r="66" spans="1:27">
      <c r="A66" s="53">
        <v>245.19</v>
      </c>
      <c r="B66" s="53">
        <v>101.28</v>
      </c>
      <c r="C66">
        <f t="shared" si="0"/>
        <v>24832.843199999999</v>
      </c>
      <c r="E66" s="53">
        <v>245.64</v>
      </c>
      <c r="F66" s="53">
        <v>172.1</v>
      </c>
      <c r="G66">
        <f t="shared" si="1"/>
        <v>42274.643999999993</v>
      </c>
      <c r="I66" s="53">
        <v>245.58</v>
      </c>
      <c r="J66" s="53">
        <v>100.72</v>
      </c>
      <c r="K66">
        <f t="shared" si="2"/>
        <v>24734.817600000002</v>
      </c>
      <c r="M66" s="53">
        <v>245.19</v>
      </c>
      <c r="N66" s="53">
        <v>104.36</v>
      </c>
      <c r="O66">
        <f t="shared" si="3"/>
        <v>25588.028399999999</v>
      </c>
      <c r="Q66" s="53">
        <v>245.16</v>
      </c>
      <c r="R66" s="53">
        <v>103.95</v>
      </c>
      <c r="S66">
        <f t="shared" si="4"/>
        <v>25484.382000000001</v>
      </c>
      <c r="U66" s="53">
        <v>245.55</v>
      </c>
      <c r="V66" s="53">
        <v>99.25</v>
      </c>
      <c r="W66">
        <f t="shared" si="5"/>
        <v>24370.837500000001</v>
      </c>
      <c r="Y66" s="53">
        <v>245.16</v>
      </c>
      <c r="Z66" s="53">
        <v>103.47</v>
      </c>
      <c r="AA66">
        <f t="shared" si="6"/>
        <v>25366.7052</v>
      </c>
    </row>
    <row r="67" spans="1:27">
      <c r="A67" s="53">
        <v>245.19</v>
      </c>
      <c r="B67" s="53">
        <v>161.11000000000001</v>
      </c>
      <c r="C67">
        <f t="shared" ref="C67:C97" si="7">A67*B67</f>
        <v>39502.560900000004</v>
      </c>
      <c r="E67" s="53">
        <v>245.64</v>
      </c>
      <c r="F67" s="53">
        <v>186.57</v>
      </c>
      <c r="G67">
        <f t="shared" ref="G67:G97" si="8">E67*F67</f>
        <v>45829.054799999998</v>
      </c>
      <c r="I67" s="53">
        <v>245.61</v>
      </c>
      <c r="J67" s="53">
        <v>116.4</v>
      </c>
      <c r="K67">
        <f t="shared" ref="K67:K97" si="9">I67*J67</f>
        <v>28589.004000000004</v>
      </c>
      <c r="M67" s="53">
        <v>245.19</v>
      </c>
      <c r="N67" s="53">
        <v>142.26</v>
      </c>
      <c r="O67">
        <f t="shared" ref="O67:O97" si="10">M67*N67</f>
        <v>34880.729399999997</v>
      </c>
      <c r="Q67" s="53">
        <v>245.13</v>
      </c>
      <c r="R67" s="53">
        <v>215.26</v>
      </c>
      <c r="S67">
        <f t="shared" ref="S67:S97" si="11">Q67*R67</f>
        <v>52766.683799999999</v>
      </c>
      <c r="U67" s="53">
        <v>245.82</v>
      </c>
      <c r="V67" s="53">
        <v>114.43</v>
      </c>
      <c r="W67">
        <f t="shared" ref="W67:W97" si="12">U67*V67</f>
        <v>28129.1826</v>
      </c>
      <c r="Y67" s="53">
        <v>245.16</v>
      </c>
      <c r="Z67" s="53">
        <v>109.55</v>
      </c>
      <c r="AA67">
        <f t="shared" ref="AA67:AA97" si="13">Y67*Z67</f>
        <v>26857.277999999998</v>
      </c>
    </row>
    <row r="68" spans="1:27">
      <c r="A68" s="53">
        <v>245.22</v>
      </c>
      <c r="B68" s="53">
        <v>181.11</v>
      </c>
      <c r="C68">
        <f t="shared" si="7"/>
        <v>44411.794200000004</v>
      </c>
      <c r="E68" s="53">
        <v>245.67</v>
      </c>
      <c r="F68" s="53">
        <v>207.24</v>
      </c>
      <c r="G68">
        <f t="shared" si="8"/>
        <v>50912.650800000003</v>
      </c>
      <c r="I68" s="53">
        <v>245.58</v>
      </c>
      <c r="J68" s="53">
        <v>132.55000000000001</v>
      </c>
      <c r="K68">
        <f t="shared" si="9"/>
        <v>32551.629000000004</v>
      </c>
      <c r="M68" s="53">
        <v>245.46</v>
      </c>
      <c r="N68" s="53">
        <v>175.79</v>
      </c>
      <c r="O68">
        <f t="shared" si="10"/>
        <v>43149.413399999998</v>
      </c>
      <c r="Q68" s="53">
        <v>245.16</v>
      </c>
      <c r="R68" s="53">
        <v>251.03</v>
      </c>
      <c r="S68">
        <f t="shared" si="11"/>
        <v>61542.514799999997</v>
      </c>
      <c r="U68" s="53">
        <v>245.58</v>
      </c>
      <c r="V68" s="53">
        <v>131.94999999999999</v>
      </c>
      <c r="W68">
        <f t="shared" si="12"/>
        <v>32404.280999999999</v>
      </c>
      <c r="Y68" s="53">
        <v>245.16</v>
      </c>
      <c r="Z68" s="53">
        <v>112.95</v>
      </c>
      <c r="AA68">
        <f t="shared" si="13"/>
        <v>27690.822</v>
      </c>
    </row>
    <row r="69" spans="1:27">
      <c r="A69" s="53">
        <v>245.19</v>
      </c>
      <c r="B69" s="53">
        <v>190.11</v>
      </c>
      <c r="C69">
        <f t="shared" si="7"/>
        <v>46613.070900000006</v>
      </c>
      <c r="E69" s="53">
        <v>245.64</v>
      </c>
      <c r="F69" s="53">
        <v>223.88</v>
      </c>
      <c r="G69">
        <f t="shared" si="8"/>
        <v>54993.883199999997</v>
      </c>
      <c r="I69" s="53">
        <v>245.58</v>
      </c>
      <c r="J69" s="53">
        <v>190.78</v>
      </c>
      <c r="K69">
        <f t="shared" si="9"/>
        <v>46851.752400000005</v>
      </c>
      <c r="M69" s="53">
        <v>245.19</v>
      </c>
      <c r="N69" s="53">
        <v>227.4</v>
      </c>
      <c r="O69">
        <f t="shared" si="10"/>
        <v>55756.205999999998</v>
      </c>
      <c r="Q69" s="53">
        <v>245.16</v>
      </c>
      <c r="R69" s="53">
        <v>294.98</v>
      </c>
      <c r="S69">
        <f t="shared" si="11"/>
        <v>72317.296799999996</v>
      </c>
      <c r="U69" s="53">
        <v>245.55</v>
      </c>
      <c r="V69" s="53">
        <v>142.9</v>
      </c>
      <c r="W69">
        <f t="shared" si="12"/>
        <v>35089.095000000001</v>
      </c>
      <c r="Y69" s="53">
        <v>245.16</v>
      </c>
      <c r="Z69" s="53">
        <v>123.17</v>
      </c>
      <c r="AA69">
        <f t="shared" si="13"/>
        <v>30196.357199999999</v>
      </c>
    </row>
    <row r="70" spans="1:27">
      <c r="A70" s="53">
        <v>245.19</v>
      </c>
      <c r="B70" s="53">
        <v>157.21</v>
      </c>
      <c r="C70">
        <f t="shared" si="7"/>
        <v>38546.319900000002</v>
      </c>
      <c r="E70" s="53">
        <v>245.64</v>
      </c>
      <c r="F70" s="53">
        <v>196.54</v>
      </c>
      <c r="G70">
        <f t="shared" si="8"/>
        <v>48278.085599999999</v>
      </c>
      <c r="I70" s="53">
        <v>245.55</v>
      </c>
      <c r="J70" s="53">
        <v>175.15</v>
      </c>
      <c r="K70">
        <f t="shared" si="9"/>
        <v>43008.082500000004</v>
      </c>
      <c r="M70" s="53">
        <v>245.19</v>
      </c>
      <c r="N70" s="53">
        <v>182.46</v>
      </c>
      <c r="O70">
        <f t="shared" si="10"/>
        <v>44737.367400000003</v>
      </c>
      <c r="Q70" s="53">
        <v>245.13</v>
      </c>
      <c r="R70" s="53">
        <v>162.66</v>
      </c>
      <c r="S70">
        <f t="shared" si="11"/>
        <v>39872.845799999996</v>
      </c>
      <c r="U70" s="53">
        <v>245.58</v>
      </c>
      <c r="V70" s="53">
        <v>121.07</v>
      </c>
      <c r="W70">
        <f t="shared" si="12"/>
        <v>29732.370599999998</v>
      </c>
      <c r="Y70" s="53">
        <v>245.16</v>
      </c>
      <c r="Z70" s="53">
        <v>113.04</v>
      </c>
      <c r="AA70">
        <f t="shared" si="13"/>
        <v>27712.886399999999</v>
      </c>
    </row>
    <row r="71" spans="1:27">
      <c r="A71" s="53">
        <v>245.19</v>
      </c>
      <c r="B71" s="53">
        <v>194.79</v>
      </c>
      <c r="C71">
        <f t="shared" si="7"/>
        <v>47760.560099999995</v>
      </c>
      <c r="E71" s="53">
        <v>245.67</v>
      </c>
      <c r="F71" s="53">
        <v>200.02</v>
      </c>
      <c r="G71">
        <f t="shared" si="8"/>
        <v>49138.913399999998</v>
      </c>
      <c r="I71" s="53">
        <v>245.58</v>
      </c>
      <c r="J71" s="53">
        <v>227.6</v>
      </c>
      <c r="K71">
        <f t="shared" si="9"/>
        <v>55894.008000000002</v>
      </c>
      <c r="M71" s="53">
        <v>245.52</v>
      </c>
      <c r="N71" s="53">
        <v>225.79</v>
      </c>
      <c r="O71">
        <f t="shared" si="10"/>
        <v>55435.960800000001</v>
      </c>
      <c r="Q71" s="53">
        <v>245.43</v>
      </c>
      <c r="R71" s="53">
        <v>293.18</v>
      </c>
      <c r="S71">
        <f t="shared" si="11"/>
        <v>71955.167400000006</v>
      </c>
      <c r="U71" s="53">
        <v>245.55</v>
      </c>
      <c r="V71" s="53">
        <v>129.85</v>
      </c>
      <c r="W71">
        <f t="shared" si="12"/>
        <v>31884.6675</v>
      </c>
      <c r="Y71" s="53">
        <v>245.13</v>
      </c>
      <c r="Z71" s="53">
        <v>121.01</v>
      </c>
      <c r="AA71">
        <f t="shared" si="13"/>
        <v>29663.1813</v>
      </c>
    </row>
    <row r="72" spans="1:27">
      <c r="A72" s="53">
        <v>245.19</v>
      </c>
      <c r="B72" s="53">
        <v>232.21</v>
      </c>
      <c r="C72">
        <f t="shared" si="7"/>
        <v>56935.569900000002</v>
      </c>
      <c r="E72" s="53">
        <v>245.64</v>
      </c>
      <c r="F72" s="53">
        <v>262.05</v>
      </c>
      <c r="G72">
        <f t="shared" si="8"/>
        <v>64369.962</v>
      </c>
      <c r="I72" s="53">
        <v>245.58</v>
      </c>
      <c r="J72" s="53">
        <v>227.22</v>
      </c>
      <c r="K72">
        <f t="shared" si="9"/>
        <v>55800.687600000005</v>
      </c>
      <c r="M72" s="53">
        <v>245.61</v>
      </c>
      <c r="N72" s="53">
        <v>259.02999999999997</v>
      </c>
      <c r="O72">
        <f t="shared" si="10"/>
        <v>63620.3583</v>
      </c>
      <c r="Q72" s="53">
        <v>245.16</v>
      </c>
      <c r="R72" s="53">
        <v>314.37</v>
      </c>
      <c r="S72">
        <f t="shared" si="11"/>
        <v>77070.949200000003</v>
      </c>
      <c r="U72" s="53">
        <v>245.55</v>
      </c>
      <c r="V72" s="53">
        <v>140</v>
      </c>
      <c r="W72">
        <f t="shared" si="12"/>
        <v>34377</v>
      </c>
      <c r="Y72" s="53">
        <v>245.16</v>
      </c>
      <c r="Z72" s="53">
        <v>129.93</v>
      </c>
      <c r="AA72">
        <f t="shared" si="13"/>
        <v>31853.638800000001</v>
      </c>
    </row>
    <row r="73" spans="1:27">
      <c r="A73" s="53">
        <v>245.22</v>
      </c>
      <c r="B73" s="53">
        <v>254.04</v>
      </c>
      <c r="C73">
        <f t="shared" si="7"/>
        <v>62295.688799999996</v>
      </c>
      <c r="E73" s="53">
        <v>245.64</v>
      </c>
      <c r="F73" s="53">
        <v>302.31</v>
      </c>
      <c r="G73">
        <f t="shared" si="8"/>
        <v>74259.42839999999</v>
      </c>
      <c r="I73" s="53">
        <v>245.88</v>
      </c>
      <c r="J73" s="53">
        <v>273.24</v>
      </c>
      <c r="K73">
        <f t="shared" si="9"/>
        <v>67184.251199999999</v>
      </c>
      <c r="M73" s="53">
        <v>245.61</v>
      </c>
      <c r="N73" s="53">
        <v>306.92</v>
      </c>
      <c r="O73">
        <f t="shared" si="10"/>
        <v>75382.621200000009</v>
      </c>
      <c r="Q73" s="53">
        <v>245.13</v>
      </c>
      <c r="R73" s="53">
        <v>331.05</v>
      </c>
      <c r="S73">
        <f t="shared" si="11"/>
        <v>81150.286500000002</v>
      </c>
      <c r="U73" s="53">
        <v>245.58</v>
      </c>
      <c r="V73" s="53">
        <v>200.89</v>
      </c>
      <c r="W73">
        <f t="shared" si="12"/>
        <v>49334.566200000001</v>
      </c>
      <c r="Y73" s="53">
        <v>245.16</v>
      </c>
      <c r="Z73" s="53">
        <v>140.91</v>
      </c>
      <c r="AA73">
        <f t="shared" si="13"/>
        <v>34545.495600000002</v>
      </c>
    </row>
    <row r="74" spans="1:27">
      <c r="A74" s="53">
        <v>245.46</v>
      </c>
      <c r="B74" s="53">
        <v>142.22999999999999</v>
      </c>
      <c r="C74">
        <f t="shared" si="7"/>
        <v>34911.775799999996</v>
      </c>
      <c r="E74" s="53">
        <v>245.64</v>
      </c>
      <c r="F74" s="53">
        <v>155.84</v>
      </c>
      <c r="G74">
        <f t="shared" si="8"/>
        <v>38280.537599999996</v>
      </c>
      <c r="I74" s="53">
        <v>245.61</v>
      </c>
      <c r="J74" s="53">
        <v>173.2</v>
      </c>
      <c r="K74">
        <f t="shared" si="9"/>
        <v>42539.652000000002</v>
      </c>
      <c r="M74" s="53">
        <v>245.61</v>
      </c>
      <c r="N74" s="53">
        <v>207.8</v>
      </c>
      <c r="O74">
        <f t="shared" si="10"/>
        <v>51037.758000000009</v>
      </c>
      <c r="Q74" s="53">
        <v>245.31</v>
      </c>
      <c r="R74" s="53">
        <v>324.27</v>
      </c>
      <c r="S74">
        <f t="shared" si="11"/>
        <v>79546.673699999999</v>
      </c>
      <c r="U74" s="53">
        <v>245.55</v>
      </c>
      <c r="V74" s="53">
        <v>128.29</v>
      </c>
      <c r="W74">
        <f t="shared" si="12"/>
        <v>31501.609499999999</v>
      </c>
      <c r="Y74" s="53">
        <v>245.19</v>
      </c>
      <c r="Z74" s="53">
        <v>130.33000000000001</v>
      </c>
      <c r="AA74">
        <f t="shared" si="13"/>
        <v>31955.612700000001</v>
      </c>
    </row>
    <row r="75" spans="1:27">
      <c r="A75" s="53">
        <v>245.25</v>
      </c>
      <c r="B75" s="53">
        <v>191.12</v>
      </c>
      <c r="C75">
        <f t="shared" si="7"/>
        <v>46872.18</v>
      </c>
      <c r="E75" s="53">
        <v>245.67</v>
      </c>
      <c r="F75" s="53">
        <v>200</v>
      </c>
      <c r="G75">
        <f t="shared" si="8"/>
        <v>49134</v>
      </c>
      <c r="I75" s="53">
        <v>245.58</v>
      </c>
      <c r="J75" s="53">
        <v>181.83</v>
      </c>
      <c r="K75">
        <f t="shared" si="9"/>
        <v>44653.811400000006</v>
      </c>
      <c r="M75" s="53">
        <v>245.61</v>
      </c>
      <c r="N75" s="53">
        <v>239.26</v>
      </c>
      <c r="O75">
        <f t="shared" si="10"/>
        <v>58764.6486</v>
      </c>
      <c r="Q75" s="53">
        <v>245.58</v>
      </c>
      <c r="R75" s="53">
        <v>342.94</v>
      </c>
      <c r="S75">
        <f t="shared" si="11"/>
        <v>84219.205199999997</v>
      </c>
      <c r="U75" s="53">
        <v>245.85</v>
      </c>
      <c r="V75" s="53">
        <v>141.07</v>
      </c>
      <c r="W75">
        <f t="shared" si="12"/>
        <v>34682.059499999996</v>
      </c>
      <c r="Y75" s="53">
        <v>245.52</v>
      </c>
      <c r="Z75" s="53">
        <v>132.28</v>
      </c>
      <c r="AA75">
        <f t="shared" si="13"/>
        <v>32477.385600000001</v>
      </c>
    </row>
    <row r="76" spans="1:27">
      <c r="A76" s="53">
        <v>245.4</v>
      </c>
      <c r="B76" s="53">
        <v>172.45</v>
      </c>
      <c r="C76">
        <f t="shared" si="7"/>
        <v>42319.229999999996</v>
      </c>
      <c r="E76" s="53">
        <v>245.67</v>
      </c>
      <c r="F76" s="53">
        <v>208.55</v>
      </c>
      <c r="G76">
        <f t="shared" si="8"/>
        <v>51234.478499999997</v>
      </c>
      <c r="I76" s="53">
        <v>245.58</v>
      </c>
      <c r="J76" s="53">
        <v>188.5</v>
      </c>
      <c r="K76">
        <f t="shared" si="9"/>
        <v>46291.83</v>
      </c>
      <c r="M76" s="53">
        <v>245.88</v>
      </c>
      <c r="N76" s="53">
        <v>247.81</v>
      </c>
      <c r="O76">
        <f t="shared" si="10"/>
        <v>60931.522799999999</v>
      </c>
      <c r="Q76" s="53">
        <v>245.58</v>
      </c>
      <c r="R76" s="53">
        <v>345.76</v>
      </c>
      <c r="S76">
        <f t="shared" si="11"/>
        <v>84911.7408</v>
      </c>
      <c r="U76" s="53">
        <v>245.58</v>
      </c>
      <c r="V76" s="53">
        <v>141.55000000000001</v>
      </c>
      <c r="W76">
        <f t="shared" si="12"/>
        <v>34761.849000000002</v>
      </c>
      <c r="Y76" s="53">
        <v>245.58</v>
      </c>
      <c r="Z76" s="53">
        <v>133.13</v>
      </c>
      <c r="AA76">
        <f t="shared" si="13"/>
        <v>32694.065399999999</v>
      </c>
    </row>
    <row r="77" spans="1:27">
      <c r="A77" s="53">
        <v>245.61</v>
      </c>
      <c r="B77" s="53">
        <v>163</v>
      </c>
      <c r="C77">
        <f t="shared" si="7"/>
        <v>40034.43</v>
      </c>
      <c r="E77" s="53">
        <v>245.67</v>
      </c>
      <c r="F77" s="53">
        <v>195.07</v>
      </c>
      <c r="G77">
        <f t="shared" si="8"/>
        <v>47922.846899999997</v>
      </c>
      <c r="I77" s="53">
        <v>245.64</v>
      </c>
      <c r="J77" s="53">
        <v>218.27</v>
      </c>
      <c r="K77">
        <f t="shared" si="9"/>
        <v>53615.842799999999</v>
      </c>
      <c r="M77" s="53">
        <v>245.61</v>
      </c>
      <c r="N77" s="53">
        <v>272.37</v>
      </c>
      <c r="O77">
        <f t="shared" si="10"/>
        <v>66896.795700000002</v>
      </c>
      <c r="Q77" s="53">
        <v>245.58</v>
      </c>
      <c r="R77" s="53">
        <v>344.94</v>
      </c>
      <c r="S77">
        <f t="shared" si="11"/>
        <v>84710.3652</v>
      </c>
      <c r="U77" s="53">
        <v>245.55</v>
      </c>
      <c r="V77" s="53">
        <v>143.99</v>
      </c>
      <c r="W77">
        <f t="shared" si="12"/>
        <v>35356.744500000001</v>
      </c>
      <c r="Y77" s="53">
        <v>245.58</v>
      </c>
      <c r="Z77" s="53">
        <v>134.19</v>
      </c>
      <c r="AA77">
        <f t="shared" si="13"/>
        <v>32954.3802</v>
      </c>
    </row>
    <row r="78" spans="1:27">
      <c r="A78" s="53">
        <v>245.61</v>
      </c>
      <c r="B78" s="53">
        <v>204.76</v>
      </c>
      <c r="C78">
        <f t="shared" si="7"/>
        <v>50291.103600000002</v>
      </c>
      <c r="E78" s="53">
        <v>245.97</v>
      </c>
      <c r="F78" s="53">
        <v>270.61</v>
      </c>
      <c r="G78">
        <f t="shared" si="8"/>
        <v>66561.94170000001</v>
      </c>
      <c r="I78" s="53">
        <v>245.58</v>
      </c>
      <c r="J78" s="53">
        <v>156.58000000000001</v>
      </c>
      <c r="K78">
        <f t="shared" si="9"/>
        <v>38452.916400000002</v>
      </c>
      <c r="M78" s="53">
        <v>245.58</v>
      </c>
      <c r="N78" s="53">
        <v>196.9</v>
      </c>
      <c r="O78">
        <f t="shared" si="10"/>
        <v>48354.702000000005</v>
      </c>
      <c r="Q78" s="53">
        <v>245.58</v>
      </c>
      <c r="R78" s="53">
        <v>165.26</v>
      </c>
      <c r="S78">
        <f t="shared" si="11"/>
        <v>40584.550799999997</v>
      </c>
      <c r="U78" s="53">
        <v>245.58</v>
      </c>
      <c r="V78" s="53">
        <v>134.11000000000001</v>
      </c>
      <c r="W78">
        <f t="shared" si="12"/>
        <v>32934.733800000002</v>
      </c>
      <c r="Y78" s="53">
        <v>245.85</v>
      </c>
      <c r="Z78" s="53">
        <v>127.7</v>
      </c>
      <c r="AA78">
        <f t="shared" si="13"/>
        <v>31395.044999999998</v>
      </c>
    </row>
    <row r="79" spans="1:27">
      <c r="A79" s="53">
        <v>245.64</v>
      </c>
      <c r="B79" s="53">
        <v>243.11</v>
      </c>
      <c r="C79">
        <f t="shared" si="7"/>
        <v>59717.540399999998</v>
      </c>
      <c r="E79" s="53">
        <v>245.7</v>
      </c>
      <c r="F79" s="53">
        <v>270.19</v>
      </c>
      <c r="G79">
        <f t="shared" si="8"/>
        <v>66385.68299999999</v>
      </c>
      <c r="I79" s="53">
        <v>245.61</v>
      </c>
      <c r="J79" s="53">
        <v>153.13999999999999</v>
      </c>
      <c r="K79">
        <f t="shared" si="9"/>
        <v>37612.715400000001</v>
      </c>
      <c r="M79" s="53">
        <v>245.61</v>
      </c>
      <c r="N79" s="53">
        <v>182.78</v>
      </c>
      <c r="O79">
        <f t="shared" si="10"/>
        <v>44892.595800000003</v>
      </c>
      <c r="Q79" s="53">
        <v>245.58</v>
      </c>
      <c r="R79" s="53">
        <v>148.96</v>
      </c>
      <c r="S79">
        <f t="shared" si="11"/>
        <v>36581.596800000007</v>
      </c>
      <c r="U79" s="53">
        <v>245.55</v>
      </c>
      <c r="V79" s="53">
        <v>134.06</v>
      </c>
      <c r="W79">
        <f t="shared" si="12"/>
        <v>32918.433000000005</v>
      </c>
      <c r="Y79" s="53">
        <v>245.55</v>
      </c>
      <c r="Z79" s="53">
        <v>130.13</v>
      </c>
      <c r="AA79">
        <f t="shared" si="13"/>
        <v>31953.4215</v>
      </c>
    </row>
    <row r="80" spans="1:27">
      <c r="A80" s="53">
        <v>245.61</v>
      </c>
      <c r="B80" s="53">
        <v>239.59</v>
      </c>
      <c r="C80">
        <f t="shared" si="7"/>
        <v>58845.699900000007</v>
      </c>
      <c r="E80" s="53">
        <v>245.67</v>
      </c>
      <c r="F80" s="53">
        <v>276.41000000000003</v>
      </c>
      <c r="G80">
        <f t="shared" si="8"/>
        <v>67905.644700000004</v>
      </c>
      <c r="I80" s="53">
        <v>245.58</v>
      </c>
      <c r="J80" s="53">
        <v>209.11</v>
      </c>
      <c r="K80">
        <f t="shared" si="9"/>
        <v>51353.233800000009</v>
      </c>
      <c r="M80" s="53">
        <v>245.61</v>
      </c>
      <c r="N80" s="53">
        <v>218.48</v>
      </c>
      <c r="O80">
        <f t="shared" si="10"/>
        <v>53660.872799999997</v>
      </c>
      <c r="Q80" s="53">
        <v>245.58</v>
      </c>
      <c r="R80" s="53">
        <v>150</v>
      </c>
      <c r="S80">
        <f t="shared" si="11"/>
        <v>36837</v>
      </c>
      <c r="U80" s="53">
        <v>245.58</v>
      </c>
      <c r="V80" s="53">
        <v>135</v>
      </c>
      <c r="W80">
        <f t="shared" si="12"/>
        <v>33153.300000000003</v>
      </c>
      <c r="Y80" s="53">
        <v>245.58</v>
      </c>
      <c r="Z80" s="53">
        <v>131.54</v>
      </c>
      <c r="AA80">
        <f t="shared" si="13"/>
        <v>32303.593199999999</v>
      </c>
    </row>
    <row r="81" spans="1:27">
      <c r="A81" s="53">
        <v>245.64</v>
      </c>
      <c r="B81" s="53">
        <v>248.68</v>
      </c>
      <c r="C81">
        <f t="shared" si="7"/>
        <v>61085.7552</v>
      </c>
      <c r="E81" s="53">
        <v>245.7</v>
      </c>
      <c r="F81" s="53">
        <v>268.39</v>
      </c>
      <c r="G81">
        <f t="shared" si="8"/>
        <v>65943.422999999995</v>
      </c>
      <c r="I81" s="53">
        <v>245.58</v>
      </c>
      <c r="J81" s="53">
        <v>241.17</v>
      </c>
      <c r="K81">
        <f t="shared" si="9"/>
        <v>59226.528599999998</v>
      </c>
      <c r="M81" s="53">
        <v>245.58</v>
      </c>
      <c r="N81" s="53">
        <v>232.83</v>
      </c>
      <c r="O81">
        <f t="shared" si="10"/>
        <v>57178.391400000008</v>
      </c>
      <c r="Q81" s="53">
        <v>245.55</v>
      </c>
      <c r="R81" s="53">
        <v>151.80000000000001</v>
      </c>
      <c r="S81">
        <f t="shared" si="11"/>
        <v>37274.490000000005</v>
      </c>
      <c r="U81" s="53">
        <v>245.55</v>
      </c>
      <c r="V81" s="53">
        <v>134.1</v>
      </c>
      <c r="W81">
        <f t="shared" si="12"/>
        <v>32928.254999999997</v>
      </c>
      <c r="Y81" s="53">
        <v>245.58</v>
      </c>
      <c r="Z81" s="53">
        <v>129.41999999999999</v>
      </c>
      <c r="AA81">
        <f t="shared" si="13"/>
        <v>31782.963599999999</v>
      </c>
    </row>
    <row r="82" spans="1:27">
      <c r="A82" s="53">
        <v>245.61</v>
      </c>
      <c r="B82" s="53">
        <v>245.79</v>
      </c>
      <c r="C82">
        <f t="shared" si="7"/>
        <v>60368.481899999999</v>
      </c>
      <c r="E82" s="53">
        <v>245.7</v>
      </c>
      <c r="F82" s="53">
        <v>195.6</v>
      </c>
      <c r="G82">
        <f t="shared" si="8"/>
        <v>48058.92</v>
      </c>
      <c r="I82" s="53">
        <v>245.58</v>
      </c>
      <c r="J82" s="53">
        <v>204.9</v>
      </c>
      <c r="K82">
        <f t="shared" si="9"/>
        <v>50319.342000000004</v>
      </c>
      <c r="M82" s="53">
        <v>245.61</v>
      </c>
      <c r="N82" s="53">
        <v>201.26</v>
      </c>
      <c r="O82">
        <f t="shared" si="10"/>
        <v>49431.4686</v>
      </c>
      <c r="Q82" s="53">
        <v>245.55</v>
      </c>
      <c r="R82" s="53">
        <v>162.46</v>
      </c>
      <c r="S82">
        <f t="shared" si="11"/>
        <v>39892.053000000007</v>
      </c>
      <c r="U82" s="53">
        <v>245.58</v>
      </c>
      <c r="V82" s="53">
        <v>137.04</v>
      </c>
      <c r="W82">
        <f t="shared" si="12"/>
        <v>33654.283199999998</v>
      </c>
      <c r="Y82" s="53">
        <v>245.58</v>
      </c>
      <c r="Z82" s="53">
        <v>133.47</v>
      </c>
      <c r="AA82">
        <f t="shared" si="13"/>
        <v>32777.562600000005</v>
      </c>
    </row>
    <row r="83" spans="1:27">
      <c r="A83" s="53">
        <v>245.61</v>
      </c>
      <c r="B83" s="53">
        <v>236.79</v>
      </c>
      <c r="C83">
        <f t="shared" si="7"/>
        <v>58157.991900000001</v>
      </c>
      <c r="E83" s="53">
        <v>245.7</v>
      </c>
      <c r="F83" s="53">
        <v>183.13</v>
      </c>
      <c r="G83">
        <f t="shared" si="8"/>
        <v>44995.040999999997</v>
      </c>
      <c r="I83" s="53">
        <v>245.88</v>
      </c>
      <c r="J83" s="53">
        <v>213.27</v>
      </c>
      <c r="K83">
        <f t="shared" si="9"/>
        <v>52438.827600000004</v>
      </c>
      <c r="M83" s="53">
        <v>245.61</v>
      </c>
      <c r="N83" s="53">
        <v>218.85</v>
      </c>
      <c r="O83">
        <f t="shared" si="10"/>
        <v>53751.748500000002</v>
      </c>
      <c r="Q83" s="53">
        <v>245.55</v>
      </c>
      <c r="R83" s="53">
        <v>150</v>
      </c>
      <c r="S83">
        <f t="shared" si="11"/>
        <v>36832.5</v>
      </c>
      <c r="U83" s="53">
        <v>245.58</v>
      </c>
      <c r="V83" s="53">
        <v>133.13999999999999</v>
      </c>
      <c r="W83">
        <f t="shared" si="12"/>
        <v>32696.521199999999</v>
      </c>
      <c r="Y83" s="53">
        <v>245.58</v>
      </c>
      <c r="Z83" s="53">
        <v>129.21</v>
      </c>
      <c r="AA83">
        <f t="shared" si="13"/>
        <v>31731.391800000005</v>
      </c>
    </row>
    <row r="84" spans="1:27">
      <c r="A84" s="53">
        <v>245.64</v>
      </c>
      <c r="B84" s="53">
        <v>211.17</v>
      </c>
      <c r="C84">
        <f t="shared" si="7"/>
        <v>51871.798799999997</v>
      </c>
      <c r="E84" s="53">
        <v>245.7</v>
      </c>
      <c r="F84" s="53">
        <v>226.1</v>
      </c>
      <c r="G84">
        <f t="shared" si="8"/>
        <v>55552.77</v>
      </c>
      <c r="I84" s="53">
        <v>245.58</v>
      </c>
      <c r="J84" s="53">
        <v>185</v>
      </c>
      <c r="K84">
        <f t="shared" si="9"/>
        <v>45432.3</v>
      </c>
      <c r="M84" s="53">
        <v>245.58</v>
      </c>
      <c r="N84" s="53">
        <v>211.7</v>
      </c>
      <c r="O84">
        <f t="shared" si="10"/>
        <v>51989.286</v>
      </c>
      <c r="Q84" s="53">
        <v>245.58</v>
      </c>
      <c r="R84" s="53">
        <v>150</v>
      </c>
      <c r="S84">
        <f t="shared" si="11"/>
        <v>36837</v>
      </c>
      <c r="U84" s="53">
        <v>245.58</v>
      </c>
      <c r="V84" s="53">
        <v>130.13999999999999</v>
      </c>
      <c r="W84">
        <f t="shared" si="12"/>
        <v>31959.781199999998</v>
      </c>
      <c r="Y84" s="53">
        <v>245.58</v>
      </c>
      <c r="Z84" s="53">
        <v>129.94</v>
      </c>
      <c r="AA84">
        <f t="shared" si="13"/>
        <v>31910.665199999999</v>
      </c>
    </row>
    <row r="85" spans="1:27">
      <c r="A85" s="53">
        <v>245.88</v>
      </c>
      <c r="B85" s="53">
        <v>203.15</v>
      </c>
      <c r="C85">
        <f t="shared" si="7"/>
        <v>49950.521999999997</v>
      </c>
      <c r="E85" s="53">
        <v>245.7</v>
      </c>
      <c r="F85" s="53">
        <v>228.17</v>
      </c>
      <c r="G85">
        <f t="shared" si="8"/>
        <v>56061.368999999992</v>
      </c>
      <c r="I85" s="53">
        <v>245.58</v>
      </c>
      <c r="J85" s="53">
        <v>157.15</v>
      </c>
      <c r="K85">
        <f t="shared" si="9"/>
        <v>38592.897000000004</v>
      </c>
      <c r="M85" s="53">
        <v>245.61</v>
      </c>
      <c r="N85" s="53">
        <v>170.76</v>
      </c>
      <c r="O85">
        <f t="shared" si="10"/>
        <v>41940.363599999997</v>
      </c>
      <c r="Q85" s="53">
        <v>245.58</v>
      </c>
      <c r="R85" s="53">
        <v>136.66</v>
      </c>
      <c r="S85">
        <f t="shared" si="11"/>
        <v>33560.962800000001</v>
      </c>
      <c r="U85" s="53">
        <v>245.58</v>
      </c>
      <c r="V85" s="53">
        <v>129.76</v>
      </c>
      <c r="W85">
        <f t="shared" si="12"/>
        <v>31866.460800000001</v>
      </c>
      <c r="Y85" s="53">
        <v>245.58</v>
      </c>
      <c r="Z85" s="53">
        <v>129.56</v>
      </c>
      <c r="AA85">
        <f t="shared" si="13"/>
        <v>31817.344800000003</v>
      </c>
    </row>
    <row r="86" spans="1:27">
      <c r="A86" s="53">
        <v>245.64</v>
      </c>
      <c r="B86" s="53">
        <v>225.56</v>
      </c>
      <c r="C86">
        <f t="shared" si="7"/>
        <v>55406.558399999994</v>
      </c>
      <c r="E86" s="53">
        <v>246</v>
      </c>
      <c r="F86" s="53">
        <v>210.26</v>
      </c>
      <c r="G86">
        <f t="shared" si="8"/>
        <v>51723.96</v>
      </c>
      <c r="I86" s="53">
        <v>245.58</v>
      </c>
      <c r="J86" s="53">
        <v>213.71</v>
      </c>
      <c r="K86">
        <f t="shared" si="9"/>
        <v>52482.901800000007</v>
      </c>
      <c r="M86" s="53">
        <v>245.58</v>
      </c>
      <c r="N86" s="53">
        <v>181.32</v>
      </c>
      <c r="O86">
        <f t="shared" si="10"/>
        <v>44528.565600000002</v>
      </c>
      <c r="Q86" s="53">
        <v>245.82</v>
      </c>
      <c r="R86" s="53">
        <v>151.55000000000001</v>
      </c>
      <c r="S86">
        <f t="shared" si="11"/>
        <v>37254.021000000001</v>
      </c>
      <c r="U86" s="53">
        <v>245.58</v>
      </c>
      <c r="V86" s="53">
        <v>135.21</v>
      </c>
      <c r="W86">
        <f t="shared" si="12"/>
        <v>33204.871800000001</v>
      </c>
      <c r="Y86" s="53">
        <v>245.61</v>
      </c>
      <c r="Z86" s="53">
        <v>134.9</v>
      </c>
      <c r="AA86">
        <f t="shared" si="13"/>
        <v>33132.789000000004</v>
      </c>
    </row>
    <row r="87" spans="1:27">
      <c r="A87" s="53">
        <v>245.58</v>
      </c>
      <c r="B87" s="53">
        <v>180.03</v>
      </c>
      <c r="C87">
        <f t="shared" si="7"/>
        <v>44211.767400000004</v>
      </c>
      <c r="E87" s="53">
        <v>245.7</v>
      </c>
      <c r="F87" s="53">
        <v>165.73</v>
      </c>
      <c r="G87">
        <f t="shared" si="8"/>
        <v>40719.860999999997</v>
      </c>
      <c r="I87" s="53">
        <v>245.58</v>
      </c>
      <c r="J87" s="53">
        <v>167.3</v>
      </c>
      <c r="K87">
        <f t="shared" si="9"/>
        <v>41085.534000000007</v>
      </c>
      <c r="M87" s="53">
        <v>245.61</v>
      </c>
      <c r="N87" s="53">
        <v>155.97</v>
      </c>
      <c r="O87">
        <f t="shared" si="10"/>
        <v>38307.791700000002</v>
      </c>
      <c r="Q87" s="53">
        <v>245.58</v>
      </c>
      <c r="R87" s="53">
        <v>134.41</v>
      </c>
      <c r="S87">
        <f t="shared" si="11"/>
        <v>33008.407800000001</v>
      </c>
      <c r="U87" s="53">
        <v>245.58</v>
      </c>
      <c r="V87" s="53">
        <v>128.38</v>
      </c>
      <c r="W87">
        <f t="shared" si="12"/>
        <v>31527.560400000002</v>
      </c>
      <c r="Y87" s="53">
        <v>245.58</v>
      </c>
      <c r="Z87" s="53">
        <v>125.51</v>
      </c>
      <c r="AA87">
        <f t="shared" si="13"/>
        <v>30822.745800000004</v>
      </c>
    </row>
    <row r="88" spans="1:27">
      <c r="A88" s="53">
        <v>245.64</v>
      </c>
      <c r="B88" s="53">
        <v>139.63999999999999</v>
      </c>
      <c r="C88">
        <f t="shared" si="7"/>
        <v>34301.169599999994</v>
      </c>
      <c r="E88" s="53">
        <v>245.7</v>
      </c>
      <c r="F88" s="53">
        <v>138.72999999999999</v>
      </c>
      <c r="G88">
        <f t="shared" si="8"/>
        <v>34085.960999999996</v>
      </c>
      <c r="I88" s="53">
        <v>245.61</v>
      </c>
      <c r="J88" s="53">
        <v>132.04</v>
      </c>
      <c r="K88">
        <f t="shared" si="9"/>
        <v>32430.344399999998</v>
      </c>
      <c r="M88" s="53">
        <v>245.58</v>
      </c>
      <c r="N88" s="53">
        <v>137.29</v>
      </c>
      <c r="O88">
        <f t="shared" si="10"/>
        <v>33715.678200000002</v>
      </c>
      <c r="Q88" s="53">
        <v>245.55</v>
      </c>
      <c r="R88" s="53">
        <v>128.71</v>
      </c>
      <c r="S88">
        <f t="shared" si="11"/>
        <v>31604.740500000004</v>
      </c>
      <c r="U88" s="53">
        <v>245.58</v>
      </c>
      <c r="V88" s="53">
        <v>123.98</v>
      </c>
      <c r="W88">
        <f t="shared" si="12"/>
        <v>30447.008400000002</v>
      </c>
      <c r="Y88" s="53">
        <v>245.61</v>
      </c>
      <c r="Z88" s="53">
        <v>120</v>
      </c>
      <c r="AA88">
        <f t="shared" si="13"/>
        <v>29473.200000000001</v>
      </c>
    </row>
    <row r="89" spans="1:27">
      <c r="A89" s="53">
        <v>245.58</v>
      </c>
      <c r="B89" s="53">
        <v>105.08</v>
      </c>
      <c r="C89">
        <f t="shared" si="7"/>
        <v>25805.546399999999</v>
      </c>
      <c r="E89" s="53">
        <v>245.7</v>
      </c>
      <c r="F89" s="53">
        <v>117.23</v>
      </c>
      <c r="G89">
        <f t="shared" si="8"/>
        <v>28803.411</v>
      </c>
      <c r="I89" s="53">
        <v>245.58</v>
      </c>
      <c r="J89" s="53">
        <v>118.16</v>
      </c>
      <c r="K89">
        <f t="shared" si="9"/>
        <v>29017.732800000002</v>
      </c>
      <c r="M89" s="53">
        <v>245.58</v>
      </c>
      <c r="N89" s="53">
        <v>132.02000000000001</v>
      </c>
      <c r="O89">
        <f t="shared" si="10"/>
        <v>32421.471600000004</v>
      </c>
      <c r="Q89" s="53">
        <v>245.55</v>
      </c>
      <c r="R89" s="53">
        <v>109.84</v>
      </c>
      <c r="S89">
        <f t="shared" si="11"/>
        <v>26971.212000000003</v>
      </c>
      <c r="U89" s="53">
        <v>245.58</v>
      </c>
      <c r="V89" s="53">
        <v>112.92</v>
      </c>
      <c r="W89">
        <f t="shared" si="12"/>
        <v>27730.893600000003</v>
      </c>
      <c r="Y89" s="53">
        <v>245.85</v>
      </c>
      <c r="Z89" s="53">
        <v>114.26</v>
      </c>
      <c r="AA89">
        <f t="shared" si="13"/>
        <v>28090.821</v>
      </c>
    </row>
    <row r="90" spans="1:27">
      <c r="A90" s="53">
        <v>245.64</v>
      </c>
      <c r="B90" s="53">
        <v>163.92</v>
      </c>
      <c r="C90">
        <f t="shared" si="7"/>
        <v>40265.308799999992</v>
      </c>
      <c r="E90" s="53">
        <v>245.7</v>
      </c>
      <c r="F90" s="53">
        <v>140.22</v>
      </c>
      <c r="G90">
        <f t="shared" si="8"/>
        <v>34452.053999999996</v>
      </c>
      <c r="I90" s="53">
        <v>245.58</v>
      </c>
      <c r="J90" s="53">
        <v>148.88</v>
      </c>
      <c r="K90">
        <f t="shared" si="9"/>
        <v>36561.950400000002</v>
      </c>
      <c r="M90" s="53">
        <v>245.61</v>
      </c>
      <c r="N90" s="53">
        <v>128.69999999999999</v>
      </c>
      <c r="O90">
        <f t="shared" si="10"/>
        <v>31610.006999999998</v>
      </c>
      <c r="Q90" s="53">
        <v>245.58</v>
      </c>
      <c r="R90" s="53">
        <v>132.41999999999999</v>
      </c>
      <c r="S90">
        <f t="shared" si="11"/>
        <v>32519.703599999997</v>
      </c>
      <c r="U90" s="53">
        <v>245.58</v>
      </c>
      <c r="V90" s="53">
        <v>124.95</v>
      </c>
      <c r="W90">
        <f t="shared" si="12"/>
        <v>30685.221000000001</v>
      </c>
      <c r="Y90" s="53">
        <v>245.61</v>
      </c>
      <c r="Z90" s="53">
        <v>121.2</v>
      </c>
      <c r="AA90">
        <f t="shared" si="13"/>
        <v>29767.932000000001</v>
      </c>
    </row>
    <row r="91" spans="1:27">
      <c r="A91" s="53">
        <v>245.58</v>
      </c>
      <c r="B91" s="53">
        <v>156.11000000000001</v>
      </c>
      <c r="C91">
        <f t="shared" si="7"/>
        <v>38337.493800000004</v>
      </c>
      <c r="E91" s="53">
        <v>245.7</v>
      </c>
      <c r="F91" s="53">
        <v>128.77000000000001</v>
      </c>
      <c r="G91">
        <f t="shared" si="8"/>
        <v>31638.789000000001</v>
      </c>
      <c r="I91" s="53">
        <v>245.58</v>
      </c>
      <c r="J91" s="53">
        <v>116.01</v>
      </c>
      <c r="K91">
        <f t="shared" si="9"/>
        <v>28489.735800000002</v>
      </c>
      <c r="M91" s="53">
        <v>245.61</v>
      </c>
      <c r="N91" s="53">
        <v>137.49</v>
      </c>
      <c r="O91">
        <f t="shared" si="10"/>
        <v>33768.918900000004</v>
      </c>
      <c r="Q91" s="53">
        <v>245.55</v>
      </c>
      <c r="R91" s="53">
        <v>121.68</v>
      </c>
      <c r="S91">
        <f t="shared" si="11"/>
        <v>29878.524000000001</v>
      </c>
      <c r="U91" s="53">
        <v>245.61</v>
      </c>
      <c r="V91" s="53">
        <v>122.47</v>
      </c>
      <c r="W91">
        <f t="shared" si="12"/>
        <v>30079.8567</v>
      </c>
      <c r="Y91" s="53">
        <v>245.58</v>
      </c>
      <c r="Z91" s="53">
        <v>114.57</v>
      </c>
      <c r="AA91">
        <f t="shared" si="13"/>
        <v>28136.100599999998</v>
      </c>
    </row>
    <row r="92" spans="1:27">
      <c r="A92" s="53">
        <v>245.61</v>
      </c>
      <c r="B92" s="53">
        <v>125.63</v>
      </c>
      <c r="C92">
        <f t="shared" si="7"/>
        <v>30855.9843</v>
      </c>
      <c r="E92" s="53">
        <v>245.7</v>
      </c>
      <c r="F92" s="53">
        <v>107.19</v>
      </c>
      <c r="G92">
        <f t="shared" si="8"/>
        <v>26336.582999999999</v>
      </c>
      <c r="I92" s="53">
        <v>245.61</v>
      </c>
      <c r="J92" s="53">
        <v>104</v>
      </c>
      <c r="K92">
        <f t="shared" si="9"/>
        <v>25543.440000000002</v>
      </c>
      <c r="M92" s="53">
        <v>245.61</v>
      </c>
      <c r="N92" s="53">
        <v>140.22</v>
      </c>
      <c r="O92">
        <f t="shared" si="10"/>
        <v>34439.434200000003</v>
      </c>
      <c r="Q92" s="53">
        <v>245.55</v>
      </c>
      <c r="R92" s="53">
        <v>105.53</v>
      </c>
      <c r="S92">
        <f t="shared" si="11"/>
        <v>25912.891500000002</v>
      </c>
      <c r="U92" s="53">
        <v>245.85</v>
      </c>
      <c r="V92" s="53">
        <v>110.38</v>
      </c>
      <c r="W92">
        <f t="shared" si="12"/>
        <v>27136.922999999999</v>
      </c>
      <c r="Y92" s="53">
        <v>245.58</v>
      </c>
      <c r="Z92" s="53">
        <v>109.05</v>
      </c>
      <c r="AA92">
        <f t="shared" si="13"/>
        <v>26780.499</v>
      </c>
    </row>
    <row r="93" spans="1:27">
      <c r="A93" s="53">
        <v>245.61</v>
      </c>
      <c r="B93" s="53">
        <v>103.96</v>
      </c>
      <c r="C93">
        <f t="shared" si="7"/>
        <v>25533.615600000001</v>
      </c>
      <c r="E93" s="53">
        <v>245.7</v>
      </c>
      <c r="F93" s="53">
        <v>98.51</v>
      </c>
      <c r="G93">
        <f t="shared" si="8"/>
        <v>24203.906999999999</v>
      </c>
      <c r="I93" s="53">
        <v>245.58</v>
      </c>
      <c r="J93" s="53">
        <v>99.17</v>
      </c>
      <c r="K93">
        <f t="shared" si="9"/>
        <v>24354.168600000001</v>
      </c>
      <c r="M93" s="53">
        <v>245.85</v>
      </c>
      <c r="N93" s="53">
        <v>103.95</v>
      </c>
      <c r="O93">
        <f t="shared" si="10"/>
        <v>25556.107500000002</v>
      </c>
      <c r="Q93" s="53">
        <v>245.58</v>
      </c>
      <c r="R93" s="53">
        <v>94.37</v>
      </c>
      <c r="S93">
        <f t="shared" si="11"/>
        <v>23175.384600000001</v>
      </c>
      <c r="U93" s="53">
        <v>245.61</v>
      </c>
      <c r="V93" s="53">
        <v>104.13</v>
      </c>
      <c r="W93">
        <f t="shared" si="12"/>
        <v>25575.369300000002</v>
      </c>
      <c r="Y93" s="53">
        <v>245.61</v>
      </c>
      <c r="Z93" s="53">
        <v>105.33</v>
      </c>
      <c r="AA93">
        <f t="shared" si="13"/>
        <v>25870.101300000002</v>
      </c>
    </row>
    <row r="94" spans="1:27">
      <c r="A94" s="53">
        <v>245.58</v>
      </c>
      <c r="B94" s="53">
        <v>156.65</v>
      </c>
      <c r="C94">
        <f t="shared" si="7"/>
        <v>38470.107000000004</v>
      </c>
      <c r="E94" s="53">
        <v>245.7</v>
      </c>
      <c r="F94" s="53">
        <v>145.72</v>
      </c>
      <c r="G94">
        <f t="shared" si="8"/>
        <v>35803.403999999995</v>
      </c>
      <c r="I94" s="53">
        <v>245.58</v>
      </c>
      <c r="J94" s="53">
        <v>139.22999999999999</v>
      </c>
      <c r="K94">
        <f t="shared" si="9"/>
        <v>34192.1034</v>
      </c>
      <c r="M94" s="53">
        <v>245.61</v>
      </c>
      <c r="N94" s="53">
        <v>148.59</v>
      </c>
      <c r="O94">
        <f t="shared" si="10"/>
        <v>36495.189900000005</v>
      </c>
      <c r="Q94" s="53">
        <v>245.55</v>
      </c>
      <c r="R94" s="53">
        <v>118.39</v>
      </c>
      <c r="S94">
        <f t="shared" si="11"/>
        <v>29070.664500000003</v>
      </c>
      <c r="U94" s="53">
        <v>245.61</v>
      </c>
      <c r="V94" s="53">
        <v>114.8</v>
      </c>
      <c r="W94">
        <f t="shared" si="12"/>
        <v>28196.028000000002</v>
      </c>
      <c r="Y94" s="53">
        <v>245.61</v>
      </c>
      <c r="Z94" s="53">
        <v>113</v>
      </c>
      <c r="AA94">
        <f t="shared" si="13"/>
        <v>27753.93</v>
      </c>
    </row>
    <row r="95" spans="1:27">
      <c r="A95" s="53">
        <v>245.61</v>
      </c>
      <c r="B95" s="53">
        <v>129.54</v>
      </c>
      <c r="C95">
        <f t="shared" si="7"/>
        <v>31816.3194</v>
      </c>
      <c r="E95" s="53">
        <v>245.7</v>
      </c>
      <c r="F95" s="53">
        <v>105.9</v>
      </c>
      <c r="G95">
        <f t="shared" si="8"/>
        <v>26019.63</v>
      </c>
      <c r="I95" s="53">
        <v>245.58</v>
      </c>
      <c r="J95" s="53">
        <v>106.94</v>
      </c>
      <c r="K95">
        <f t="shared" si="9"/>
        <v>26262.325199999999</v>
      </c>
      <c r="M95" s="53">
        <v>245.61</v>
      </c>
      <c r="N95" s="53">
        <v>124.5</v>
      </c>
      <c r="O95">
        <f t="shared" si="10"/>
        <v>30578.445000000003</v>
      </c>
      <c r="Q95" s="53">
        <v>245.55</v>
      </c>
      <c r="R95" s="53">
        <v>112.89</v>
      </c>
      <c r="S95">
        <f t="shared" si="11"/>
        <v>27720.139500000001</v>
      </c>
      <c r="U95" s="53">
        <v>245.61</v>
      </c>
      <c r="V95" s="53">
        <v>109.14</v>
      </c>
      <c r="W95">
        <f t="shared" si="12"/>
        <v>26805.875400000001</v>
      </c>
      <c r="Y95" s="53">
        <v>245.58</v>
      </c>
      <c r="Z95" s="53">
        <v>107.01</v>
      </c>
      <c r="AA95">
        <f t="shared" si="13"/>
        <v>26279.515800000001</v>
      </c>
    </row>
    <row r="96" spans="1:27">
      <c r="A96" s="53">
        <v>245.61</v>
      </c>
      <c r="B96" s="53">
        <v>108.54</v>
      </c>
      <c r="C96">
        <f t="shared" si="7"/>
        <v>26658.509400000003</v>
      </c>
      <c r="E96" s="53">
        <v>245.73</v>
      </c>
      <c r="F96" s="53">
        <v>94.58</v>
      </c>
      <c r="G96">
        <f t="shared" si="8"/>
        <v>23241.143399999997</v>
      </c>
      <c r="I96" s="53">
        <v>245.61</v>
      </c>
      <c r="J96" s="53">
        <v>102.36</v>
      </c>
      <c r="K96">
        <f t="shared" si="9"/>
        <v>25140.639600000002</v>
      </c>
      <c r="M96" s="53">
        <v>245.58</v>
      </c>
      <c r="N96" s="53">
        <v>102.01</v>
      </c>
      <c r="O96">
        <f t="shared" si="10"/>
        <v>25051.615800000003</v>
      </c>
      <c r="Q96" s="53">
        <v>245.85</v>
      </c>
      <c r="R96" s="53">
        <v>103.95</v>
      </c>
      <c r="S96">
        <f t="shared" si="11"/>
        <v>25556.107500000002</v>
      </c>
      <c r="U96" s="53">
        <v>245.61</v>
      </c>
      <c r="V96" s="53">
        <v>106.09</v>
      </c>
      <c r="W96">
        <f t="shared" si="12"/>
        <v>26056.764900000002</v>
      </c>
      <c r="Y96" s="53">
        <v>245.61</v>
      </c>
      <c r="Z96" s="53">
        <v>103.24</v>
      </c>
      <c r="AA96">
        <f t="shared" si="13"/>
        <v>25356.776399999999</v>
      </c>
    </row>
    <row r="97" spans="1:27">
      <c r="A97" s="53">
        <v>245.58</v>
      </c>
      <c r="B97" s="53">
        <v>93.79</v>
      </c>
      <c r="C97">
        <f t="shared" si="7"/>
        <v>23032.948200000003</v>
      </c>
      <c r="E97" s="53">
        <v>245.7</v>
      </c>
      <c r="F97" s="53">
        <v>87.22</v>
      </c>
      <c r="G97">
        <f t="shared" si="8"/>
        <v>21429.953999999998</v>
      </c>
      <c r="I97" s="53">
        <v>245.58</v>
      </c>
      <c r="J97" s="53">
        <v>96.71</v>
      </c>
      <c r="K97">
        <f t="shared" si="9"/>
        <v>23750.041799999999</v>
      </c>
      <c r="M97" s="53">
        <v>245.61</v>
      </c>
      <c r="N97" s="53">
        <v>95.71</v>
      </c>
      <c r="O97">
        <f t="shared" si="10"/>
        <v>23507.3331</v>
      </c>
      <c r="Q97" s="53">
        <v>245.58</v>
      </c>
      <c r="R97" s="53">
        <v>100.45</v>
      </c>
      <c r="S97">
        <f t="shared" si="11"/>
        <v>24668.511000000002</v>
      </c>
      <c r="U97" s="53">
        <v>245.61</v>
      </c>
      <c r="V97" s="53">
        <v>101.97</v>
      </c>
      <c r="W97">
        <f t="shared" si="12"/>
        <v>25044.851700000003</v>
      </c>
      <c r="Y97" s="53">
        <v>245.61</v>
      </c>
      <c r="Z97" s="53">
        <v>97.15</v>
      </c>
      <c r="AA97">
        <f t="shared" si="13"/>
        <v>23861.011500000004</v>
      </c>
    </row>
    <row r="98" spans="1:27">
      <c r="A98">
        <f>SUM(A2:A97)</f>
        <v>23087.160000000007</v>
      </c>
      <c r="C98">
        <f>SUM(C2:C97)</f>
        <v>2665846.7333999984</v>
      </c>
      <c r="E98">
        <f>SUM(E2:E97)</f>
        <v>23583.659999999993</v>
      </c>
      <c r="G98">
        <f>SUM(G2:G97)</f>
        <v>3069975.3969000005</v>
      </c>
      <c r="I98">
        <f>SUM(I2:I97)</f>
        <v>23583.300000000043</v>
      </c>
      <c r="K98">
        <f>SUM(K2:K97)</f>
        <v>2894439.2888999986</v>
      </c>
      <c r="M98">
        <f>SUM(M2:M97)</f>
        <v>23573.130000000019</v>
      </c>
      <c r="N98">
        <f t="shared" ref="N98:O98" si="14">SUM(N2:N97)</f>
        <v>12542.119999999999</v>
      </c>
      <c r="O98">
        <f t="shared" si="14"/>
        <v>3079832.3474999992</v>
      </c>
      <c r="P98">
        <f t="shared" ref="P98" si="15">SUM(P2:P97)</f>
        <v>0</v>
      </c>
      <c r="Q98">
        <f t="shared" ref="Q98" si="16">SUM(Q2:Q97)</f>
        <v>23569.14000000001</v>
      </c>
      <c r="R98">
        <f t="shared" ref="R98" si="17">SUM(R2:R97)</f>
        <v>12953.890000000001</v>
      </c>
      <c r="S98">
        <f t="shared" ref="S98" si="18">SUM(S2:S97)</f>
        <v>3180073.3289999994</v>
      </c>
      <c r="T98">
        <f t="shared" ref="T98" si="19">SUM(T2:T97)</f>
        <v>0</v>
      </c>
      <c r="U98">
        <f t="shared" ref="U98" si="20">SUM(U2:U97)</f>
        <v>23575.470000000016</v>
      </c>
      <c r="V98">
        <f t="shared" ref="V98" si="21">SUM(V2:V97)</f>
        <v>10699.279999999993</v>
      </c>
      <c r="W98">
        <f t="shared" ref="W98" si="22">SUM(W2:W97)</f>
        <v>2627514.5264999988</v>
      </c>
      <c r="X98">
        <f t="shared" ref="X98" si="23">SUM(X2:X97)</f>
        <v>0</v>
      </c>
      <c r="Y98">
        <f t="shared" ref="Y98" si="24">SUM(Y2:Y97)</f>
        <v>23568.420000000024</v>
      </c>
      <c r="Z98">
        <f t="shared" ref="Z98:AA98" si="25">SUM(Z2:Z97)</f>
        <v>10145.959999999995</v>
      </c>
      <c r="AA98">
        <f t="shared" si="25"/>
        <v>2490828.968700001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Energy Production</vt:lpstr>
      <vt:lpstr>Sheet1</vt:lpstr>
      <vt:lpstr>'Energy Production'!Print_Area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tech01</dc:creator>
  <cp:lastModifiedBy>Markella Bournaka</cp:lastModifiedBy>
  <cp:lastPrinted>2025-11-07T20:21:45Z</cp:lastPrinted>
  <dcterms:created xsi:type="dcterms:W3CDTF">2025-03-17T17:41:17Z</dcterms:created>
  <dcterms:modified xsi:type="dcterms:W3CDTF">2025-11-17T14:50:21Z</dcterms:modified>
</cp:coreProperties>
</file>