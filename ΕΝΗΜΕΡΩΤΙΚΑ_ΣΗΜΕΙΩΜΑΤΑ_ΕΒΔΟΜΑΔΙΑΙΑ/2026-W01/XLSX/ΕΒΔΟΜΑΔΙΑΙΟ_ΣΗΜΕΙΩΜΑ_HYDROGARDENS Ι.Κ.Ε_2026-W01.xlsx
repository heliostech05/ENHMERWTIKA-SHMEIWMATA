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4">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1"/>
    </font>
    <font>
      <b val="1"/>
      <sz val="10"/>
    </font>
    <font>
      <sz val="13"/>
    </font>
    <font>
      <b val="1"/>
      <sz val="14"/>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6">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1" applyAlignment="1" pivotButton="0" quotePrefix="0" xfId="0">
      <alignment horizontal="center" vertical="center"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22"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3" fillId="3" borderId="7" applyAlignment="1" pivotButton="0" quotePrefix="0" xfId="0">
      <alignment horizontal="center" vertical="center" wrapText="1"/>
    </xf>
    <xf numFmtId="4" fontId="23" fillId="3" borderId="2" applyAlignment="1" pivotButton="0" quotePrefix="0" xfId="0">
      <alignment horizontal="center" vertical="center" wrapText="1"/>
    </xf>
    <xf numFmtId="4" fontId="23" fillId="3" borderId="8" applyAlignment="1" pivotButton="0" quotePrefix="0" xfId="0">
      <alignment horizontal="center" vertical="center" wrapText="1"/>
    </xf>
    <xf numFmtId="168" fontId="11" fillId="3" borderId="8" applyAlignment="1" pivotButton="0" quotePrefix="0" xfId="0">
      <alignment horizontal="center" vertical="center" wrapText="1"/>
    </xf>
    <xf numFmtId="164" fontId="11" fillId="3" borderId="9"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01/01/26 – 04/01/26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522SH70212</t>
        </is>
      </c>
      <c r="C4" s="82" t="inlineStr">
        <is>
          <t>HYDROGARDENS Ι.Κ.Ε</t>
        </is>
      </c>
      <c r="D4" s="9" t="n">
        <v>802667720</v>
      </c>
      <c r="E4" s="8" t="inlineStr">
        <is>
          <t>ΚΑΛΑΜΑΡΙΑΣ</t>
        </is>
      </c>
      <c r="F4" s="8" t="inlineStr">
        <is>
          <t>ΑΓΡΟΤΕΜΑΧΙΟ 533, ΕΠΑΝΟΜΗ ΘΕΡΜΗΣ</t>
        </is>
      </c>
      <c r="G4" s="8" t="inlineStr">
        <is>
          <t>info@pk_energy.gr</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01/01/26 - 04/01/26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01/01/26</t>
        </is>
      </c>
      <c r="D10" s="26" t="n">
        <v>23514.66</v>
      </c>
      <c r="E10" s="26" t="n">
        <v>1860.4053999</v>
      </c>
      <c r="F10" s="26" t="n">
        <v>5.88</v>
      </c>
      <c r="G10" s="95" t="n">
        <v>79.12</v>
      </c>
      <c r="H10" s="96" t="n"/>
    </row>
    <row r="11" ht="30" customHeight="1" s="78">
      <c r="C11" s="94" t="inlineStr">
        <is>
          <t>02/01/26</t>
        </is>
      </c>
      <c r="D11" s="26" t="n">
        <v>23516.91</v>
      </c>
      <c r="E11" s="26" t="n">
        <v>2238.2937747</v>
      </c>
      <c r="F11" s="26" t="n">
        <v>5.88</v>
      </c>
      <c r="G11" s="95" t="n">
        <v>95.18000000000001</v>
      </c>
      <c r="H11" s="96" t="n"/>
    </row>
    <row r="12" ht="28.5" customHeight="1" s="78">
      <c r="C12" s="94" t="inlineStr">
        <is>
          <t>03/01/26</t>
        </is>
      </c>
      <c r="D12" s="26" t="n">
        <v>23526.18</v>
      </c>
      <c r="E12" s="26" t="n">
        <v>2101.2272796</v>
      </c>
      <c r="F12" s="26" t="n">
        <v>5.88</v>
      </c>
      <c r="G12" s="95" t="n">
        <v>89.31</v>
      </c>
      <c r="H12" s="96" t="n"/>
    </row>
    <row r="13" ht="28.5" customHeight="1" s="78">
      <c r="C13" s="94" t="inlineStr">
        <is>
          <t>04/01/26</t>
        </is>
      </c>
      <c r="D13" s="26" t="n">
        <v>23523.21</v>
      </c>
      <c r="E13" s="26" t="n">
        <v>2136.3692214</v>
      </c>
      <c r="F13" s="26" t="n">
        <v>5.88</v>
      </c>
      <c r="G13" s="95" t="n">
        <v>90.81999999999999</v>
      </c>
      <c r="H13" s="96" t="n"/>
    </row>
    <row r="14" ht="28.5" customHeight="1" s="78">
      <c r="C14" s="97" t="inlineStr">
        <is>
          <t>Σύνολο Εβδομάδας</t>
        </is>
      </c>
      <c r="D14" s="98" t="n">
        <v>94080.96000000001</v>
      </c>
      <c r="E14" s="98" t="n">
        <v>8336.299999999999</v>
      </c>
      <c r="F14" s="98" t="n">
        <v>23.52</v>
      </c>
      <c r="G14" s="99" t="n">
        <v>88.61</v>
      </c>
      <c r="H14" s="96" t="n"/>
    </row>
    <row r="15" ht="28.5" customHeight="1" s="78">
      <c r="C15" s="94" t="n"/>
      <c r="D15" s="26" t="n"/>
      <c r="E15" s="27" t="n"/>
      <c r="F15" s="28" t="n"/>
      <c r="G15" s="100" t="n"/>
      <c r="H15" s="96" t="n"/>
    </row>
    <row r="16" ht="28.5" customHeight="1" s="78">
      <c r="C16" s="94" t="n"/>
      <c r="D16" s="26" t="n"/>
      <c r="E16" s="27" t="n"/>
      <c r="F16" s="28" t="n"/>
      <c r="G16" s="100" t="n"/>
      <c r="H16" s="96" t="n"/>
    </row>
    <row r="17" ht="28.5" customHeight="1" s="78" thickBot="1">
      <c r="C17" s="101" t="n"/>
      <c r="D17" s="30" t="n"/>
      <c r="E17" s="76" t="n"/>
      <c r="F17" s="31" t="n"/>
      <c r="G17" s="77" t="n"/>
      <c r="H17" s="96" t="n"/>
    </row>
    <row r="18" ht="28.5" customHeight="1" s="78">
      <c r="C18" s="32" t="n"/>
      <c r="D18" s="33" t="n"/>
      <c r="E18" s="33" t="n"/>
      <c r="F18" s="34" t="n"/>
      <c r="G18" s="102" t="n"/>
      <c r="H18" s="96" t="n"/>
    </row>
    <row r="19" ht="49" customHeight="1" s="78" thickBot="1">
      <c r="B19" s="40" t="n"/>
      <c r="C19" s="40" t="n"/>
      <c r="D19" s="40" t="n"/>
    </row>
    <row r="20" ht="31" customHeight="1" s="78">
      <c r="B20" s="68" t="inlineStr">
        <is>
          <t>Ανάλυση Χρεώσεων και Υπηρεσίων ΦοΣΕ</t>
        </is>
      </c>
      <c r="C20" s="103" t="n"/>
      <c r="D20" s="104" t="n"/>
      <c r="E20" s="19" t="n"/>
      <c r="F20" s="105" t="inlineStr">
        <is>
          <t>Υπολογισμός προς καταβολή</t>
        </is>
      </c>
      <c r="G20" s="103" t="n"/>
      <c r="H20" s="106" t="n"/>
      <c r="I20" s="44" t="n"/>
    </row>
    <row r="21" ht="36" customHeight="1" s="78">
      <c r="B21" s="59" t="inlineStr">
        <is>
          <t>Μοναδιαία Χρέωση ΦοΣΕ</t>
        </is>
      </c>
      <c r="C21" s="86" t="n"/>
      <c r="D21" s="107" t="n">
        <v>0.25</v>
      </c>
      <c r="E21" s="43" t="n"/>
      <c r="F21" s="59" t="inlineStr">
        <is>
          <t>Παραγωγή Ενέργειας βάσει Μετρήσεων (ΜWh)</t>
        </is>
      </c>
      <c r="G21" s="86" t="n"/>
      <c r="H21" s="108">
        <f>D17/1000</f>
        <v/>
      </c>
      <c r="I21" s="44" t="n"/>
    </row>
    <row r="22" ht="71.5" customHeight="1" s="78" thickBot="1">
      <c r="B22" s="61" t="inlineStr">
        <is>
          <t>Σύνολο (€)</t>
        </is>
      </c>
      <c r="C22" s="109" t="n"/>
      <c r="D22" s="42" t="n">
        <v>23.52</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9"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3" t="n"/>
      <c r="D27" s="104" t="n"/>
      <c r="E27" s="40" t="n"/>
      <c r="F27" s="105" t="inlineStr">
        <is>
          <t>Υπολογισμός Τιμολόγησης</t>
        </is>
      </c>
      <c r="G27" s="103" t="n"/>
      <c r="H27" s="106" t="n"/>
      <c r="I27" s="44" t="n"/>
    </row>
    <row r="28" ht="25.25" customHeight="1" s="78">
      <c r="B28" s="48" t="inlineStr">
        <is>
          <t xml:space="preserve"> ΙΒΑΝ</t>
        </is>
      </c>
      <c r="C28" s="110" t="inlineStr">
        <is>
          <t>GR8601105060000050600510049</t>
        </is>
      </c>
      <c r="D28" s="111"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2" t="inlineStr">
        <is>
          <t>17/01/26</t>
        </is>
      </c>
      <c r="D29" s="113"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9" t="n"/>
      <c r="H30" s="42">
        <f>H28+H29</f>
        <v/>
      </c>
      <c r="I30" s="44" t="n"/>
    </row>
    <row r="31" ht="28.75" customHeight="1" s="78"/>
    <row r="32" ht="38.25" customHeight="1" s="78">
      <c r="B32" s="114"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5" t="n"/>
    </row>
  </sheetData>
  <mergeCells count="26">
    <mergeCell ref="I9:M9"/>
    <mergeCell ref="F20:H20"/>
    <mergeCell ref="F29:G29"/>
    <mergeCell ref="F25:G25"/>
    <mergeCell ref="B22:C22"/>
    <mergeCell ref="D1:F2"/>
    <mergeCell ref="F21:G21"/>
    <mergeCell ref="B21:C21"/>
    <mergeCell ref="F24:G24"/>
    <mergeCell ref="F30:G30"/>
    <mergeCell ref="C29:D29"/>
    <mergeCell ref="F27:H27"/>
    <mergeCell ref="G6:H6"/>
    <mergeCell ref="B20:D20"/>
    <mergeCell ref="D5:F5"/>
    <mergeCell ref="C2:G2"/>
    <mergeCell ref="F23:G23"/>
    <mergeCell ref="G5:H5"/>
    <mergeCell ref="F22:G22"/>
    <mergeCell ref="F28:G28"/>
    <mergeCell ref="C8:G8"/>
    <mergeCell ref="B32:H33"/>
    <mergeCell ref="G1:H1"/>
    <mergeCell ref="D6:F6"/>
    <mergeCell ref="B27:D27"/>
    <mergeCell ref="C28:D28"/>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2026-01-12T15:52:24Z</dcterms:modified>
  <cp:lastModifiedBy>Markella Bournaka</cp:lastModifiedBy>
  <cp:lastPrinted>2025-05-05T11:50:33Z</cp:lastPrinted>
</cp:coreProperties>
</file>