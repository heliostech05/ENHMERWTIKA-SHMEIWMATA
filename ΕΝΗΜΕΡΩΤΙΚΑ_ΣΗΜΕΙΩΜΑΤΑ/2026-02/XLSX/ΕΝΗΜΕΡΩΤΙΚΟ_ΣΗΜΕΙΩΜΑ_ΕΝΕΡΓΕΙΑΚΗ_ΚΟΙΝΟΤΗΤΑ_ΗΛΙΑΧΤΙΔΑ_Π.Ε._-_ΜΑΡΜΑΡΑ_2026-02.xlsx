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620" yWindow="780" windowWidth="29400" windowHeight="1722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Production'!$B$1:$H$57</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13">
    <xf numFmtId="0" fontId="0" fillId="0"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164" fontId="12" fillId="3" borderId="7" applyAlignment="1" pivotButton="0" quotePrefix="0" xfId="0">
      <alignment horizontal="center" vertical="center" wrapText="1"/>
    </xf>
    <xf numFmtId="4" fontId="12" fillId="3" borderId="2" applyAlignment="1" pivotButton="0" quotePrefix="0" xfId="0">
      <alignment horizontal="center" vertical="center" wrapText="1"/>
    </xf>
    <xf numFmtId="4" fontId="12" fillId="3" borderId="8" applyAlignment="1" pivotButton="0" quotePrefix="0" xfId="0">
      <alignment horizontal="center" vertical="center"/>
    </xf>
    <xf numFmtId="168"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7"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zoomScale="70" zoomScaleNormal="70" workbookViewId="0">
      <selection activeCell="J3" sqref="J3"/>
    </sheetView>
  </sheetViews>
  <sheetFormatPr baseColWidth="10" defaultColWidth="41.6640625" defaultRowHeight="21.5" customHeight="1"/>
  <cols>
    <col width="0.83203125" customWidth="1" style="4" min="1" max="1"/>
    <col width="19.5" customWidth="1" style="4" min="2" max="2"/>
    <col width="22.5" customWidth="1" style="4" min="3" max="3"/>
    <col width="19.83203125" customWidth="1" style="4" min="4" max="4"/>
    <col width="14.83203125" customWidth="1" style="4" min="5" max="5"/>
    <col width="21.6640625" customWidth="1" style="4" min="6" max="6"/>
    <col width="33.5" customWidth="1" style="39" min="7" max="7"/>
    <col width="20.33203125" customWidth="1" style="4" min="8" max="8"/>
    <col width="19.6640625" customWidth="1" style="3" min="9" max="9"/>
    <col width="32.6640625" customWidth="1" style="3" min="10" max="10"/>
    <col width="29" customWidth="1" style="3" min="11" max="11"/>
    <col width="27.33203125" customWidth="1" style="3" min="12" max="12"/>
    <col width="36.83203125" customWidth="1" style="3" min="13" max="13"/>
    <col width="41.5" customWidth="1" style="4" min="14" max="14"/>
    <col width="21.5" customWidth="1" style="4" min="15" max="15"/>
    <col width="44.83203125" customWidth="1" style="4" min="16" max="16"/>
    <col width="31" customWidth="1" style="4" min="17" max="17"/>
    <col width="20.1640625" customWidth="1" style="4" min="18" max="18"/>
    <col width="55.6640625" customWidth="1" style="4" min="19" max="19"/>
    <col width="44.83203125" customWidth="1" style="4" min="20" max="20"/>
    <col width="31" customWidth="1" style="4" min="21" max="21"/>
    <col width="44.83203125" customWidth="1" style="4" min="22" max="22"/>
    <col width="31" customWidth="1" style="4" min="23" max="23"/>
    <col width="41.6640625" customWidth="1" style="4" min="24" max="24"/>
    <col width="41.6640625" customWidth="1" style="4" min="25" max="16384"/>
  </cols>
  <sheetData>
    <row r="1" ht="160" customHeight="1" s="76">
      <c r="B1" s="3" t="n"/>
      <c r="C1" s="3" t="n"/>
      <c r="D1" s="3" t="n"/>
      <c r="E1" s="3" t="n"/>
      <c r="F1" s="3" t="n"/>
      <c r="G1" s="77" t="inlineStr">
        <is>
          <t>Φορέας Σωρευτικής Εκπροσώπησης ΑΠΕ (Φο.Σ.Ε.)
Διεύθυνση: Φιλοπάππου 19, Αθήνα 11741, Ελλάδα 
ΑΦΜ: 801961185, ΓΕΜΗ: 167104201000, ΔΟΥ:ΦΑΕ Αθηνών 
e-mail: info@greenvalue.gr</t>
        </is>
      </c>
      <c r="K1" s="9" t="n"/>
    </row>
    <row r="2" ht="80" customHeight="1" s="76">
      <c r="B2" s="3" t="n"/>
      <c r="C2" s="78" t="inlineStr">
        <is>
          <t>Ενημερωτικό Σημείωμα Φεβρουαρίου 2026</t>
        </is>
      </c>
      <c r="H2" s="3" t="n"/>
    </row>
    <row r="3" ht="40" customFormat="1" customHeight="1" s="10">
      <c r="A3" s="40" t="n"/>
      <c r="B3" s="55" t="inlineStr">
        <is>
          <t>Α.Μ. ΑΠΕ</t>
        </is>
      </c>
      <c r="C3" s="55" t="inlineStr">
        <is>
          <t>Εταιρεία</t>
        </is>
      </c>
      <c r="D3" s="55" t="inlineStr">
        <is>
          <t>ΑΦΜ</t>
        </is>
      </c>
      <c r="E3" s="55" t="inlineStr">
        <is>
          <t>ΔΟΥ</t>
        </is>
      </c>
      <c r="F3" s="55" t="inlineStr">
        <is>
          <t>Διεύθυνση</t>
        </is>
      </c>
      <c r="G3" s="55" t="inlineStr">
        <is>
          <t>Email</t>
        </is>
      </c>
      <c r="H3" s="55" t="inlineStr">
        <is>
          <t>Τεχνολογία</t>
        </is>
      </c>
      <c r="I3" s="9" t="n"/>
      <c r="J3" s="9" t="n"/>
      <c r="K3" s="9" t="n"/>
      <c r="L3" s="9" t="n"/>
      <c r="M3" s="9" t="n"/>
    </row>
    <row r="4" ht="100" customFormat="1" customHeight="1" s="10">
      <c r="B4" s="6" t="inlineStr">
        <is>
          <t>644PH76800</t>
        </is>
      </c>
      <c r="C4" s="79" t="inlineStr">
        <is>
          <t>ΕΝΕΡΓΕΙΑΚΗ ΚΟΙΝΟΤΗΤΑ ΗΛΙΑΧΤΙΔΑ Π.Ε. - ΜΑΡΜΑΡΑ</t>
        </is>
      </c>
      <c r="D4" s="8" t="n">
        <v>996874804</v>
      </c>
      <c r="E4" s="7" t="inlineStr">
        <is>
          <t xml:space="preserve">ΛΑΜΙΑΣ </t>
        </is>
      </c>
      <c r="F4" s="7" t="inlineStr">
        <is>
          <t>6η ΠΑΡΟΔΟΣ ΣΑΝΑΤΟΡΙΟΥ 9, ΛΑΜΙΑ, 35131</t>
        </is>
      </c>
      <c r="G4" s="7" t="inlineStr">
        <is>
          <t>iliachtidaenergy@gmail.com , dimitrisiak@gmail.com</t>
        </is>
      </c>
      <c r="H4" s="7" t="inlineStr">
        <is>
          <t>Φ/Β</t>
        </is>
      </c>
      <c r="I4" s="9" t="n"/>
      <c r="J4" s="9" t="n"/>
      <c r="K4" s="9" t="n"/>
      <c r="L4" s="9" t="n"/>
      <c r="M4" s="9" t="n"/>
    </row>
    <row r="5" ht="50" customHeight="1" s="76">
      <c r="A5" s="1" t="n"/>
      <c r="B5" s="55" t="inlineStr">
        <is>
          <t>Ημερομηνία</t>
        </is>
      </c>
      <c r="C5" s="55" t="inlineStr">
        <is>
          <t>Έκδοση</t>
        </is>
      </c>
      <c r="D5" s="55" t="inlineStr">
        <is>
          <t xml:space="preserve">Περίοδος Εκκαθάρισης </t>
        </is>
      </c>
      <c r="G5" s="55" t="inlineStr">
        <is>
          <t>ΣΥΝΟΛΟ ΜΕ ΦΠΑ</t>
        </is>
      </c>
    </row>
    <row r="6" ht="60.75" customFormat="1" customHeight="1" s="10">
      <c r="B6" s="80" t="inlineStr">
        <is>
          <t>03/04/26</t>
        </is>
      </c>
      <c r="C6" s="7" t="inlineStr">
        <is>
          <t>Αρχική</t>
        </is>
      </c>
      <c r="D6" s="81" t="inlineStr">
        <is>
          <t>01/02/26-28/02/26</t>
        </is>
      </c>
      <c r="E6" s="82" t="n"/>
      <c r="F6" s="83" t="n"/>
      <c r="G6" s="84">
        <f>H54</f>
        <v/>
      </c>
      <c r="H6" s="83" t="n"/>
      <c r="I6" s="9" t="n"/>
      <c r="J6" s="9" t="n"/>
      <c r="K6" s="9" t="n"/>
      <c r="L6" s="9" t="n"/>
      <c r="M6" s="9" t="n"/>
    </row>
    <row r="7" ht="14" customFormat="1" customHeight="1" s="10">
      <c r="B7" s="85" t="n"/>
      <c r="C7" s="13" t="n"/>
      <c r="D7" s="86" t="n"/>
      <c r="E7" s="86" t="n"/>
      <c r="F7" s="86" t="n"/>
      <c r="G7" s="87" t="n"/>
      <c r="H7" s="88" t="n"/>
      <c r="I7" s="9" t="n"/>
      <c r="J7" s="9" t="n"/>
      <c r="K7" s="9" t="n"/>
      <c r="L7" s="9" t="n"/>
      <c r="M7" s="9" t="n"/>
    </row>
    <row r="8" ht="43" customHeight="1" s="76" thickBot="1">
      <c r="B8" s="17" t="n"/>
      <c r="C8" s="54" t="inlineStr">
        <is>
          <t>Ανάλυση Μηνιαίας Εκκαθάρισης Παραγωγής Ενέργειας Σταθμού</t>
        </is>
      </c>
      <c r="D8" s="89" t="n"/>
      <c r="E8" s="89" t="n"/>
      <c r="F8" s="89" t="n"/>
      <c r="G8" s="89" t="n"/>
      <c r="H8" s="18" t="n"/>
    </row>
    <row r="9" ht="53.5" customFormat="1" customHeight="1" s="19">
      <c r="C9" s="20" t="inlineStr">
        <is>
          <t>Περίοδος Εκκαθάρισης</t>
        </is>
      </c>
      <c r="D9" s="21" t="inlineStr">
        <is>
          <t>Παραγωγή Ενέργειας βάσει μετρήσεων (kWh)</t>
        </is>
      </c>
      <c r="E9" s="21" t="inlineStr">
        <is>
          <t>Αξία Ενέργειας βάσει μετρήσεων (€)</t>
        </is>
      </c>
      <c r="F9" s="21" t="inlineStr">
        <is>
          <t>Προμήθεια GREEN VALUE (€)</t>
        </is>
      </c>
      <c r="G9" s="22" t="inlineStr">
        <is>
          <t>Μεσοσταθμική Τιμή Αγοράς  κατά τις ώρες παραγωγής του σταθμού</t>
        </is>
      </c>
      <c r="H9" s="23" t="n"/>
      <c r="I9" s="90" t="n"/>
    </row>
    <row r="10" ht="31.75" customHeight="1" s="76">
      <c r="C10" s="91" t="inlineStr">
        <is>
          <t>01/02/26</t>
        </is>
      </c>
      <c r="D10" s="25" t="n">
        <v>1090.95</v>
      </c>
      <c r="E10" s="25" t="n">
        <v>108.6324795</v>
      </c>
      <c r="F10" s="25" t="n">
        <v>1.09</v>
      </c>
      <c r="G10" s="92" t="n">
        <v>99.58</v>
      </c>
      <c r="H10" s="93" t="n"/>
    </row>
    <row r="11" ht="30" customHeight="1" s="76">
      <c r="C11" s="91" t="inlineStr">
        <is>
          <t>02/02/26</t>
        </is>
      </c>
      <c r="D11" s="25" t="n">
        <v>2994.48</v>
      </c>
      <c r="E11" s="25" t="n">
        <v>285.6534498</v>
      </c>
      <c r="F11" s="25" t="n">
        <v>2.99</v>
      </c>
      <c r="G11" s="92" t="n">
        <v>95.39</v>
      </c>
      <c r="H11" s="93" t="n"/>
    </row>
    <row r="12" ht="28.5" customHeight="1" s="76">
      <c r="C12" s="91" t="inlineStr">
        <is>
          <t>03/02/26</t>
        </is>
      </c>
      <c r="D12" s="25" t="n">
        <v>3599.91</v>
      </c>
      <c r="E12" s="25" t="n">
        <v>346.7797242</v>
      </c>
      <c r="F12" s="25" t="n">
        <v>3.6</v>
      </c>
      <c r="G12" s="92" t="n">
        <v>96.33</v>
      </c>
      <c r="H12" s="93" t="n"/>
    </row>
    <row r="13" ht="28.5" customHeight="1" s="76">
      <c r="C13" s="91" t="inlineStr">
        <is>
          <t>04/02/26</t>
        </is>
      </c>
      <c r="D13" s="25" t="n">
        <v>2582.49</v>
      </c>
      <c r="E13" s="25" t="n">
        <v>233.6460165</v>
      </c>
      <c r="F13" s="25" t="n">
        <v>2.58</v>
      </c>
      <c r="G13" s="92" t="n">
        <v>90.47</v>
      </c>
      <c r="H13" s="93" t="n"/>
    </row>
    <row r="14" ht="28.5" customHeight="1" s="76">
      <c r="C14" s="91" t="inlineStr">
        <is>
          <t>05/02/26</t>
        </is>
      </c>
      <c r="D14" s="25" t="n">
        <v>2331.42</v>
      </c>
      <c r="E14" s="25" t="n">
        <v>220.7939211</v>
      </c>
      <c r="F14" s="25" t="n">
        <v>2.33</v>
      </c>
      <c r="G14" s="92" t="n">
        <v>94.7</v>
      </c>
      <c r="H14" s="93" t="n"/>
    </row>
    <row r="15" ht="28.5" customHeight="1" s="76">
      <c r="C15" s="91" t="inlineStr">
        <is>
          <t>06/02/26</t>
        </is>
      </c>
      <c r="D15" s="25" t="n">
        <v>2151.6</v>
      </c>
      <c r="E15" s="25" t="n">
        <v>170.7892884</v>
      </c>
      <c r="F15" s="25" t="n">
        <v>2.15</v>
      </c>
      <c r="G15" s="92" t="n">
        <v>79.38</v>
      </c>
      <c r="H15" s="93" t="n"/>
    </row>
    <row r="16" ht="28.5" customHeight="1" s="76">
      <c r="C16" s="91" t="inlineStr">
        <is>
          <t>07/02/26</t>
        </is>
      </c>
      <c r="D16" s="25" t="n">
        <v>2750.67</v>
      </c>
      <c r="E16" s="25" t="n">
        <v>50.4225834</v>
      </c>
      <c r="F16" s="25" t="n">
        <v>2.75</v>
      </c>
      <c r="G16" s="92" t="n">
        <v>18.33</v>
      </c>
      <c r="H16" s="93" t="n"/>
    </row>
    <row r="17" ht="28.5" customHeight="1" s="76">
      <c r="C17" s="91" t="inlineStr">
        <is>
          <t>08/02/26</t>
        </is>
      </c>
      <c r="D17" s="25" t="n">
        <v>1100.73</v>
      </c>
      <c r="E17" s="25" t="n">
        <v>60.06751260000001</v>
      </c>
      <c r="F17" s="25" t="n">
        <v>1.1</v>
      </c>
      <c r="G17" s="92" t="n">
        <v>54.57</v>
      </c>
      <c r="H17" s="93" t="n"/>
    </row>
    <row r="18" ht="28.5" customHeight="1" s="76">
      <c r="C18" s="91" t="inlineStr">
        <is>
          <t>09/02/26</t>
        </is>
      </c>
      <c r="D18" s="25" t="n">
        <v>0</v>
      </c>
      <c r="E18" s="25" t="n">
        <v>0</v>
      </c>
      <c r="F18" s="25" t="n">
        <v>0</v>
      </c>
      <c r="G18" s="92" t="n">
        <v>0</v>
      </c>
      <c r="H18" s="93" t="n"/>
    </row>
    <row r="19" ht="28.5" customHeight="1" s="76">
      <c r="C19" s="91" t="inlineStr">
        <is>
          <t>10/02/26</t>
        </is>
      </c>
      <c r="D19" s="25" t="n">
        <v>606.3000000000001</v>
      </c>
      <c r="E19" s="25" t="n">
        <v>62.3119341</v>
      </c>
      <c r="F19" s="25" t="n">
        <v>0.61</v>
      </c>
      <c r="G19" s="92" t="n">
        <v>102.77</v>
      </c>
      <c r="H19" s="93" t="n"/>
    </row>
    <row r="20" ht="28.5" customHeight="1" s="76">
      <c r="C20" s="91" t="inlineStr">
        <is>
          <t>11/02/26</t>
        </is>
      </c>
      <c r="D20" s="25" t="n">
        <v>3214.65</v>
      </c>
      <c r="E20" s="25" t="n">
        <v>275.8471635</v>
      </c>
      <c r="F20" s="25" t="n">
        <v>3.21</v>
      </c>
      <c r="G20" s="92" t="n">
        <v>85.81</v>
      </c>
      <c r="H20" s="93" t="n"/>
    </row>
    <row r="21" ht="28.5" customHeight="1" s="76">
      <c r="C21" s="91" t="inlineStr">
        <is>
          <t>12/02/26</t>
        </is>
      </c>
      <c r="D21" s="25" t="n">
        <v>2567.1</v>
      </c>
      <c r="E21" s="25" t="n">
        <v>139.9309326</v>
      </c>
      <c r="F21" s="25" t="n">
        <v>2.57</v>
      </c>
      <c r="G21" s="92" t="n">
        <v>54.51</v>
      </c>
      <c r="H21" s="93" t="n"/>
    </row>
    <row r="22" ht="28.5" customHeight="1" s="76">
      <c r="C22" s="91" t="inlineStr">
        <is>
          <t>13/02/26</t>
        </is>
      </c>
      <c r="D22" s="25" t="n">
        <v>1700.88</v>
      </c>
      <c r="E22" s="25" t="n">
        <v>107.9544678</v>
      </c>
      <c r="F22" s="25" t="n">
        <v>1.7</v>
      </c>
      <c r="G22" s="92" t="n">
        <v>63.47</v>
      </c>
      <c r="H22" s="93" t="n"/>
    </row>
    <row r="23" ht="28.5" customHeight="1" s="76">
      <c r="C23" s="91" t="inlineStr">
        <is>
          <t>14/02/26</t>
        </is>
      </c>
      <c r="D23" s="25" t="n">
        <v>3532.5</v>
      </c>
      <c r="E23" s="25" t="n">
        <v>105.2190123</v>
      </c>
      <c r="F23" s="25" t="n">
        <v>3.53</v>
      </c>
      <c r="G23" s="92" t="n">
        <v>29.79</v>
      </c>
      <c r="H23" s="93" t="n"/>
    </row>
    <row r="24" ht="28.5" customHeight="1" s="76">
      <c r="C24" s="91" t="inlineStr">
        <is>
          <t>15/02/26</t>
        </is>
      </c>
      <c r="D24" s="25" t="n">
        <v>3073.14</v>
      </c>
      <c r="E24" s="25" t="n">
        <v>11.4000132</v>
      </c>
      <c r="F24" s="25" t="n">
        <v>3.07</v>
      </c>
      <c r="G24" s="92" t="n">
        <v>3.71</v>
      </c>
      <c r="H24" s="93" t="n"/>
    </row>
    <row r="25" ht="28.5" customHeight="1" s="76">
      <c r="C25" s="91" t="inlineStr">
        <is>
          <t>16/02/26</t>
        </is>
      </c>
      <c r="D25" s="25" t="n">
        <v>2706.69</v>
      </c>
      <c r="E25" s="25" t="n">
        <v>50.8491948</v>
      </c>
      <c r="F25" s="25" t="n">
        <v>2.71</v>
      </c>
      <c r="G25" s="92" t="n">
        <v>18.79</v>
      </c>
      <c r="H25" s="93" t="n"/>
    </row>
    <row r="26" ht="28.5" customHeight="1" s="76">
      <c r="C26" s="91" t="inlineStr">
        <is>
          <t>17/02/26</t>
        </is>
      </c>
      <c r="D26" s="25" t="n">
        <v>1754.79</v>
      </c>
      <c r="E26" s="25" t="n">
        <v>94.7170299</v>
      </c>
      <c r="F26" s="25" t="n">
        <v>1.75</v>
      </c>
      <c r="G26" s="92" t="n">
        <v>53.98</v>
      </c>
      <c r="H26" s="93" t="n"/>
    </row>
    <row r="27" ht="28.5" customHeight="1" s="76">
      <c r="C27" s="91" t="inlineStr">
        <is>
          <t>18/02/26</t>
        </is>
      </c>
      <c r="D27" s="25" t="n">
        <v>2404.8</v>
      </c>
      <c r="E27" s="25" t="n">
        <v>23.1859803</v>
      </c>
      <c r="F27" s="25" t="n">
        <v>2.4</v>
      </c>
      <c r="G27" s="92" t="n">
        <v>9.640000000000001</v>
      </c>
      <c r="H27" s="93" t="n"/>
    </row>
    <row r="28" ht="28.5" customHeight="1" s="76">
      <c r="C28" s="91" t="inlineStr">
        <is>
          <t>19/02/26</t>
        </is>
      </c>
      <c r="D28" s="25" t="n">
        <v>2337.75</v>
      </c>
      <c r="E28" s="25" t="n">
        <v>72.63327839999999</v>
      </c>
      <c r="F28" s="25" t="n">
        <v>2.34</v>
      </c>
      <c r="G28" s="92" t="n">
        <v>31.07</v>
      </c>
      <c r="H28" s="93" t="n"/>
    </row>
    <row r="29" ht="28.5" customHeight="1" s="76">
      <c r="C29" s="91" t="inlineStr">
        <is>
          <t>20/02/26</t>
        </is>
      </c>
      <c r="D29" s="25" t="n">
        <v>3423.33</v>
      </c>
      <c r="E29" s="25" t="n">
        <v>144.0321774</v>
      </c>
      <c r="F29" s="25" t="n">
        <v>3.42</v>
      </c>
      <c r="G29" s="92" t="n">
        <v>42.07</v>
      </c>
      <c r="H29" s="93" t="n"/>
    </row>
    <row r="30" ht="28.5" customHeight="1" s="76">
      <c r="C30" s="91" t="inlineStr">
        <is>
          <t>21/02/26</t>
        </is>
      </c>
      <c r="D30" s="25" t="n">
        <v>4477.71</v>
      </c>
      <c r="E30" s="25" t="n">
        <v>99.74963369999999</v>
      </c>
      <c r="F30" s="25" t="n">
        <v>4.48</v>
      </c>
      <c r="G30" s="92" t="n">
        <v>22.28</v>
      </c>
      <c r="H30" s="93" t="n"/>
    </row>
    <row r="31" ht="28.5" customHeight="1" s="76">
      <c r="C31" s="91" t="inlineStr">
        <is>
          <t>22/02/26</t>
        </is>
      </c>
      <c r="D31" s="25" t="n">
        <v>433.29</v>
      </c>
      <c r="E31" s="25" t="n">
        <v>4.1525298</v>
      </c>
      <c r="F31" s="25" t="n">
        <v>0.43</v>
      </c>
      <c r="G31" s="92" t="n">
        <v>9.58</v>
      </c>
      <c r="H31" s="93" t="n"/>
    </row>
    <row r="32" ht="28.5" customHeight="1" s="76">
      <c r="C32" s="91" t="inlineStr">
        <is>
          <t>23/02/26</t>
        </is>
      </c>
      <c r="D32" s="25" t="n">
        <v>1035.09</v>
      </c>
      <c r="E32" s="25" t="n">
        <v>2.3403852</v>
      </c>
      <c r="F32" s="25" t="n">
        <v>1.04</v>
      </c>
      <c r="G32" s="92" t="n">
        <v>2.26</v>
      </c>
      <c r="H32" s="93" t="n"/>
    </row>
    <row r="33" ht="28.5" customHeight="1" s="76">
      <c r="C33" s="91" t="inlineStr">
        <is>
          <t>24/02/26</t>
        </is>
      </c>
      <c r="D33" s="25" t="n">
        <v>1616.4</v>
      </c>
      <c r="E33" s="25" t="n">
        <v>53.97075</v>
      </c>
      <c r="F33" s="25" t="n">
        <v>1.62</v>
      </c>
      <c r="G33" s="92" t="n">
        <v>33.39</v>
      </c>
      <c r="H33" s="93" t="n"/>
    </row>
    <row r="34" ht="28.5" customHeight="1" s="76">
      <c r="C34" s="91" t="inlineStr">
        <is>
          <t>25/02/26</t>
        </is>
      </c>
      <c r="D34" s="25" t="n">
        <v>2217.6</v>
      </c>
      <c r="E34" s="25" t="n">
        <v>27.6514509</v>
      </c>
      <c r="F34" s="25" t="n">
        <v>2.22</v>
      </c>
      <c r="G34" s="92" t="n">
        <v>12.47</v>
      </c>
      <c r="H34" s="93" t="n"/>
    </row>
    <row r="35" ht="28.5" customHeight="1" s="76">
      <c r="C35" s="91" t="inlineStr">
        <is>
          <t>26/02/26</t>
        </is>
      </c>
      <c r="D35" s="25" t="n">
        <v>2406.3</v>
      </c>
      <c r="E35" s="25" t="n">
        <v>23.0980137</v>
      </c>
      <c r="F35" s="25" t="n">
        <v>2.41</v>
      </c>
      <c r="G35" s="92" t="n">
        <v>9.6</v>
      </c>
      <c r="H35" s="93" t="n"/>
    </row>
    <row r="36" ht="28.5" customHeight="1" s="76">
      <c r="C36" s="91" t="inlineStr">
        <is>
          <t>27/02/26</t>
        </is>
      </c>
      <c r="D36" s="25" t="n">
        <v>775.9499999999999</v>
      </c>
      <c r="E36" s="25" t="n">
        <v>36.6188697</v>
      </c>
      <c r="F36" s="25" t="n">
        <v>0.78</v>
      </c>
      <c r="G36" s="92" t="n">
        <v>47.19</v>
      </c>
      <c r="H36" s="93" t="n"/>
    </row>
    <row r="37" ht="28.5" customHeight="1" s="76">
      <c r="C37" s="91" t="inlineStr">
        <is>
          <t>28/02/26</t>
        </is>
      </c>
      <c r="D37" s="25" t="n">
        <v>1799.49</v>
      </c>
      <c r="E37" s="25" t="n">
        <v>11.43819</v>
      </c>
      <c r="F37" s="25" t="n">
        <v>1.8</v>
      </c>
      <c r="G37" s="92" t="n">
        <v>6.36</v>
      </c>
      <c r="H37" s="93" t="n"/>
    </row>
    <row r="38" ht="28.5" customHeight="1" s="76">
      <c r="C38" s="94" t="inlineStr">
        <is>
          <t>Σύνολο</t>
        </is>
      </c>
      <c r="D38" s="95" t="n">
        <v>60686.01</v>
      </c>
      <c r="E38" s="95" t="n">
        <v>2823.89</v>
      </c>
      <c r="F38" s="95" t="n">
        <v>60.68</v>
      </c>
      <c r="G38" s="96" t="n">
        <v>46.53</v>
      </c>
      <c r="H38" s="93" t="n"/>
    </row>
    <row r="39" hidden="1" ht="28.5" customHeight="1" s="76">
      <c r="C39" s="91" t="n"/>
      <c r="D39" s="25" t="n"/>
      <c r="E39" s="26" t="n"/>
      <c r="F39" s="27" t="n"/>
      <c r="G39" s="97" t="n"/>
      <c r="H39" s="93" t="n"/>
    </row>
    <row r="40" hidden="1" ht="28.5" customHeight="1" s="76">
      <c r="C40" s="91" t="n"/>
      <c r="D40" s="25" t="n"/>
      <c r="E40" s="26" t="n"/>
      <c r="F40" s="27" t="n"/>
      <c r="G40" s="97" t="n"/>
      <c r="H40" s="93" t="n"/>
    </row>
    <row r="41" hidden="1" ht="28.5" customHeight="1" s="76" thickBot="1">
      <c r="C41" s="29" t="n"/>
      <c r="D41" s="30" t="n"/>
      <c r="E41" s="30" t="n"/>
      <c r="F41" s="31" t="n"/>
      <c r="G41" s="98" t="n"/>
      <c r="H41" s="93" t="n"/>
    </row>
    <row r="42" ht="28.5" customHeight="1" s="76">
      <c r="C42" s="32" t="n"/>
      <c r="D42" s="33" t="n"/>
      <c r="E42" s="33" t="n"/>
      <c r="F42" s="34" t="n"/>
      <c r="G42" s="99" t="n"/>
      <c r="H42" s="93" t="n"/>
    </row>
    <row r="43" ht="49" customHeight="1" s="76" thickBot="1">
      <c r="B43" s="41" t="n"/>
      <c r="C43" s="41" t="n"/>
      <c r="D43" s="41" t="n"/>
    </row>
    <row r="44" ht="31" customHeight="1" s="76">
      <c r="B44" s="69" t="inlineStr">
        <is>
          <t>Ανάλυση Χρεώσεων και Υπηρεσίων ΦοΣΕ</t>
        </is>
      </c>
      <c r="C44" s="100" t="n"/>
      <c r="D44" s="101" t="n"/>
      <c r="E44" s="18" t="n"/>
      <c r="F44" s="102" t="inlineStr">
        <is>
          <t>Υπολογισμός προς καταβολή</t>
        </is>
      </c>
      <c r="G44" s="100" t="n"/>
      <c r="H44" s="103" t="n"/>
      <c r="I44" s="45" t="n"/>
    </row>
    <row r="45" ht="36" customHeight="1" s="76">
      <c r="B45" s="60" t="inlineStr">
        <is>
          <t>Μοναδιαία Χρέωση ΦοΣΕ</t>
        </is>
      </c>
      <c r="C45" s="83" t="n"/>
      <c r="D45" s="104" t="n">
        <v>1</v>
      </c>
      <c r="E45" s="44" t="n"/>
      <c r="F45" s="60" t="inlineStr">
        <is>
          <t>Παραγωγή Ενέργειας βάσει Μετρήσεων (ΜWh)</t>
        </is>
      </c>
      <c r="G45" s="83" t="n"/>
      <c r="H45" s="105" t="n">
        <v>60.69</v>
      </c>
      <c r="I45" s="45" t="n"/>
    </row>
    <row r="46" ht="71.5" customHeight="1" s="76" thickBot="1">
      <c r="B46" s="62" t="inlineStr">
        <is>
          <t>Σύνολο (€)</t>
        </is>
      </c>
      <c r="C46" s="106" t="n"/>
      <c r="D46" s="107" t="n">
        <v>60.68</v>
      </c>
      <c r="E46" s="41" t="n"/>
      <c r="F46" s="60" t="inlineStr">
        <is>
          <t>Αξία Ενέργειας βάσει Μετρήσεων (€)</t>
        </is>
      </c>
      <c r="G46" s="83" t="n"/>
      <c r="H46" s="105" t="n">
        <v>2823.89</v>
      </c>
      <c r="I46" s="45" t="n"/>
    </row>
    <row r="47" ht="30" customHeight="1" s="76">
      <c r="E47" s="41" t="n"/>
      <c r="F47" s="60" t="inlineStr">
        <is>
          <t>ΦΠΑ (6%)</t>
        </is>
      </c>
      <c r="G47" s="83" t="n"/>
      <c r="H47" s="47">
        <f>H46*6%</f>
        <v/>
      </c>
      <c r="I47" s="45" t="n"/>
    </row>
    <row r="48" ht="29.75" customHeight="1" s="76">
      <c r="E48" s="41" t="n"/>
      <c r="F48" s="60" t="inlineStr">
        <is>
          <t>Χρέωση ΦοΣΕ με ΦΠΑ (24%)</t>
        </is>
      </c>
      <c r="G48" s="83" t="n"/>
      <c r="H48" s="47">
        <f>-(D46*1.24)</f>
        <v/>
      </c>
      <c r="I48" s="45" t="n"/>
    </row>
    <row r="49" ht="30" customHeight="1" s="76" thickBot="1">
      <c r="E49" s="41" t="n"/>
      <c r="F49" s="62" t="inlineStr">
        <is>
          <t xml:space="preserve">Συνολικό Ποσό προς καταβολή </t>
        </is>
      </c>
      <c r="G49" s="106" t="n"/>
      <c r="H49" s="48">
        <f>H46+H47+H48</f>
        <v/>
      </c>
      <c r="I49" s="45" t="n"/>
    </row>
    <row r="50" ht="37" customHeight="1" s="76" thickBot="1">
      <c r="B50" s="41" t="n"/>
      <c r="C50" s="41" t="n"/>
      <c r="D50" s="41" t="n"/>
      <c r="F50" s="41" t="n"/>
      <c r="G50" s="51" t="n"/>
      <c r="H50" s="41" t="n"/>
    </row>
    <row r="51" ht="36" customHeight="1" s="76">
      <c r="B51" s="69" t="inlineStr">
        <is>
          <t>Στοιχεία Τράπεζας</t>
        </is>
      </c>
      <c r="C51" s="100" t="n"/>
      <c r="D51" s="101" t="n"/>
      <c r="E51" s="41" t="n"/>
      <c r="F51" s="102" t="inlineStr">
        <is>
          <t>Υπολογισμός Τιμολόγησης</t>
        </is>
      </c>
      <c r="G51" s="100" t="n"/>
      <c r="H51" s="103" t="n"/>
      <c r="I51" s="45" t="n"/>
    </row>
    <row r="52" ht="25.25" customHeight="1" s="76">
      <c r="B52" s="49" t="inlineStr">
        <is>
          <t xml:space="preserve"> ΙΒΑΝ</t>
        </is>
      </c>
      <c r="C52" s="108" t="inlineStr">
        <is>
          <t>GR5001106140000061400743573</t>
        </is>
      </c>
      <c r="D52" s="109" t="n"/>
      <c r="E52" s="41" t="n"/>
      <c r="F52" s="60" t="inlineStr">
        <is>
          <t>Αξία Ενέργειας βάσει Μετρήσεων</t>
        </is>
      </c>
      <c r="G52" s="83" t="n"/>
      <c r="H52" s="47">
        <f>H46</f>
        <v/>
      </c>
      <c r="I52" s="45" t="n"/>
    </row>
    <row r="53" ht="28.5" customHeight="1" s="76" thickBot="1">
      <c r="B53" s="50" t="inlineStr">
        <is>
          <t xml:space="preserve"> Ημερομηνία</t>
        </is>
      </c>
      <c r="C53" s="110" t="inlineStr">
        <is>
          <t>05/04/26</t>
        </is>
      </c>
      <c r="D53" s="111" t="n"/>
      <c r="E53" s="41" t="n"/>
      <c r="F53" s="60" t="inlineStr">
        <is>
          <t>ΦΠΑ (6%)</t>
        </is>
      </c>
      <c r="G53" s="83" t="n"/>
      <c r="H53" s="47">
        <f>H52*6%</f>
        <v/>
      </c>
      <c r="I53" s="45" t="n"/>
    </row>
    <row r="54" ht="28.5" customHeight="1" s="76" thickBot="1">
      <c r="B54" s="41" t="n"/>
      <c r="C54" s="41" t="n"/>
      <c r="D54" s="41" t="n"/>
      <c r="E54" s="41" t="n"/>
      <c r="F54" s="62" t="inlineStr">
        <is>
          <t xml:space="preserve">ΓΕΝΙΚΟ ΣΥΝΟΛΟ </t>
        </is>
      </c>
      <c r="G54" s="106" t="n"/>
      <c r="H54" s="43">
        <f>H52+H53</f>
        <v/>
      </c>
      <c r="I54" s="45" t="n"/>
    </row>
    <row r="55" ht="28.75" customHeight="1" s="76"/>
    <row r="56" ht="38.25" customHeight="1" s="76">
      <c r="B56" s="112"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6"/>
    <row r="58" ht="80" customHeight="1" s="76"/>
    <row r="60" ht="28.75" customHeight="1" s="76"/>
    <row r="62" ht="36" customHeight="1" s="76"/>
    <row r="63" ht="28.5" customHeight="1" s="76"/>
    <row r="64" ht="28.5" customHeight="1" s="76"/>
    <row r="65" ht="28.5" customHeight="1" s="76"/>
  </sheetData>
  <mergeCells count="25">
    <mergeCell ref="I9:M9"/>
    <mergeCell ref="F54:G54"/>
    <mergeCell ref="B46:C46"/>
    <mergeCell ref="B44:D44"/>
    <mergeCell ref="F45:G45"/>
    <mergeCell ref="G6:H6"/>
    <mergeCell ref="B51:D51"/>
    <mergeCell ref="F47:G47"/>
    <mergeCell ref="D5:F5"/>
    <mergeCell ref="C2:G2"/>
    <mergeCell ref="G5:H5"/>
    <mergeCell ref="F46:G46"/>
    <mergeCell ref="C52:D52"/>
    <mergeCell ref="F44:H44"/>
    <mergeCell ref="C8:G8"/>
    <mergeCell ref="F52:G52"/>
    <mergeCell ref="B56:H57"/>
    <mergeCell ref="F48:G48"/>
    <mergeCell ref="G1:H1"/>
    <mergeCell ref="B45:C45"/>
    <mergeCell ref="F49:G49"/>
    <mergeCell ref="C53:D53"/>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2026-04-03T15:35:58Z</dcterms:modified>
  <cp:lastModifiedBy>michalis Dimitropoulos</cp:lastModifiedBy>
  <cp:lastPrinted>2025-05-05T11:50:33Z</cp:lastPrinted>
</cp:coreProperties>
</file>