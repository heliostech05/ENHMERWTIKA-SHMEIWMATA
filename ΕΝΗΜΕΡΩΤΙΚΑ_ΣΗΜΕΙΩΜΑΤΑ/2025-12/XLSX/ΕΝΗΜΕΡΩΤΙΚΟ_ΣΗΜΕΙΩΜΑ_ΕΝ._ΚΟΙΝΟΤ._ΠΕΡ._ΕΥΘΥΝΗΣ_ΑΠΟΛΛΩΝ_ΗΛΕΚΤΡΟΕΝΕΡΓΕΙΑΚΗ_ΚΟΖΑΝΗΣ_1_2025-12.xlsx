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760" windowWidth="29400" windowHeight="17220" tabRatio="600" firstSheet="0" activeTab="0" autoFilterDateGrouping="1"/>
  </bookViews>
  <sheets>
    <sheet xmlns:r="http://schemas.openxmlformats.org/officeDocument/2006/relationships" name="Energy Production" sheetId="1" state="visible" r:id="rId1"/>
  </sheets>
  <definedNames/>
  <calcPr calcId="191028" fullCalcOnLoad="1"/>
</workbook>
</file>

<file path=xl/styles.xml><?xml version="1.0" encoding="utf-8"?>
<styleSheet xmlns="http://schemas.openxmlformats.org/spreadsheetml/2006/main">
  <numFmts count="6">
    <numFmt numFmtId="164" formatCode="dd/mm/yy"/>
    <numFmt numFmtId="165" formatCode="#,##0.00\ &quot;€&quot;"/>
    <numFmt numFmtId="166" formatCode="[$€-2]\ #,##0.00"/>
    <numFmt numFmtId="167" formatCode="[$€-2]\ 0.00"/>
    <numFmt numFmtId="168" formatCode="#.##&quot; &quot;[$€-2]&quot;/MWh&quot;"/>
    <numFmt numFmtId="169" formatCode="#,##0.000"/>
  </numFmts>
  <fonts count="23">
    <font>
      <name val="Avenir Next Regular"/>
      <color indexed="8"/>
      <sz val="10"/>
    </font>
    <font>
      <name val="Century Gothic"/>
      <family val="1"/>
      <color indexed="8"/>
      <sz val="9"/>
    </font>
    <font>
      <name val="Century Gothic"/>
      <family val="1"/>
      <color indexed="8"/>
      <sz val="10"/>
    </font>
    <font>
      <name val="Century Gothic"/>
      <family val="1"/>
      <b val="1"/>
      <sz val="16"/>
    </font>
    <font>
      <name val="Century Gothic"/>
      <family val="1"/>
      <color indexed="10"/>
      <sz val="15"/>
    </font>
    <font>
      <name val="Century Gothic"/>
      <family val="1"/>
      <sz val="16"/>
    </font>
    <font>
      <name val="Century Gothic"/>
      <family val="1"/>
      <b val="1"/>
      <color indexed="10"/>
      <sz val="15"/>
    </font>
    <font>
      <name val="Century Gothic"/>
      <family val="1"/>
      <b val="1"/>
      <color indexed="8"/>
      <sz val="18"/>
    </font>
    <font>
      <name val="Century Gothic"/>
      <family val="1"/>
      <b val="1"/>
      <color indexed="8"/>
      <sz val="16"/>
    </font>
    <font>
      <name val="Century Gothic"/>
      <family val="1"/>
      <b val="1"/>
      <color indexed="8"/>
      <sz val="9"/>
    </font>
    <font>
      <name val="Century Gothic"/>
      <family val="1"/>
      <b val="1"/>
      <sz val="9"/>
    </font>
    <font>
      <name val="Century Gothic"/>
      <family val="1"/>
      <color indexed="8"/>
      <sz val="15"/>
    </font>
    <font>
      <name val="Century Gothic"/>
      <family val="1"/>
      <b val="1"/>
      <color indexed="8"/>
      <sz val="15"/>
    </font>
    <font>
      <name val="Century Gothic"/>
      <family val="1"/>
      <color indexed="8"/>
      <sz val="16"/>
    </font>
    <font>
      <name val="Century Gothic"/>
      <family val="1"/>
      <i val="1"/>
      <color rgb="FF000000"/>
      <sz val="14"/>
    </font>
    <font>
      <name val="Century Gothic"/>
      <family val="1"/>
      <i val="1"/>
      <color rgb="FF000000"/>
      <sz val="14"/>
      <u val="single"/>
    </font>
    <font>
      <name val="Century Gothic"/>
      <family val="1"/>
      <color indexed="8"/>
      <sz val="14"/>
    </font>
    <font>
      <name val="Century Gothic"/>
      <family val="1"/>
      <b val="1"/>
      <i val="1"/>
      <color theme="6" tint="-0.499984740745262"/>
      <sz val="9"/>
    </font>
    <font>
      <name val="Century Gothic"/>
      <family val="1"/>
      <b val="1"/>
      <color theme="6" tint="-0.499984740745262"/>
      <sz val="9"/>
    </font>
    <font>
      <name val="Century Gothic"/>
      <b val="1"/>
      <sz val="20"/>
      <u val="single"/>
    </font>
    <font>
      <name val="Century Gothic"/>
      <sz val="14"/>
    </font>
    <font>
      <name val="Century Gothic"/>
      <sz val="13"/>
    </font>
    <font>
      <name val="Century Gothic"/>
      <b val="1"/>
      <sz val="14"/>
    </font>
  </fonts>
  <fills count="4">
    <fill>
      <patternFill/>
    </fill>
    <fill>
      <patternFill patternType="gray125"/>
    </fill>
    <fill>
      <patternFill patternType="solid">
        <fgColor theme="6" tint="0.7999816888943144"/>
        <bgColor indexed="64"/>
      </patternFill>
    </fill>
    <fill>
      <patternFill patternType="solid">
        <fgColor theme="0"/>
        <bgColor indexed="64"/>
      </patternFill>
    </fill>
  </fills>
  <borders count="39">
    <border>
      <left/>
      <right/>
      <top/>
      <bottom/>
      <diagonal/>
    </border>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medium">
        <color indexed="64"/>
      </bottom>
      <diagonal/>
    </border>
    <border>
      <left style="medium">
        <color theme="6" tint="-0.499984740745262"/>
      </left>
      <right style="thin">
        <color indexed="64"/>
      </right>
      <top style="medium">
        <color theme="6" tint="-0.499984740745262"/>
      </top>
      <bottom style="thin">
        <color indexed="64"/>
      </bottom>
      <diagonal/>
    </border>
    <border>
      <left style="thin">
        <color indexed="64"/>
      </left>
      <right style="thin">
        <color indexed="64"/>
      </right>
      <top style="medium">
        <color theme="6" tint="-0.499984740745262"/>
      </top>
      <bottom style="thin">
        <color indexed="64"/>
      </bottom>
      <diagonal/>
    </border>
    <border>
      <left style="thin">
        <color indexed="64"/>
      </left>
      <right style="medium">
        <color theme="6" tint="-0.499984740745262"/>
      </right>
      <top style="medium">
        <color theme="6" tint="-0.499984740745262"/>
      </top>
      <bottom style="thin">
        <color indexed="64"/>
      </bottom>
      <diagonal/>
    </border>
    <border>
      <left style="medium">
        <color theme="6" tint="-0.499984740745262"/>
      </left>
      <right style="thin">
        <color indexed="64"/>
      </right>
      <top style="thin">
        <color indexed="64"/>
      </top>
      <bottom style="thin">
        <color indexed="64"/>
      </bottom>
      <diagonal/>
    </border>
    <border>
      <left style="thin">
        <color indexed="64"/>
      </left>
      <right style="medium">
        <color theme="6" tint="-0.499984740745262"/>
      </right>
      <top style="thin">
        <color indexed="64"/>
      </top>
      <bottom style="thin">
        <color indexed="64"/>
      </bottom>
      <diagonal/>
    </border>
    <border>
      <left style="medium">
        <color theme="6" tint="-0.499984740745262"/>
      </left>
      <right style="thin">
        <color indexed="64"/>
      </right>
      <top style="thin">
        <color indexed="64"/>
      </top>
      <bottom style="medium">
        <color theme="6" tint="-0.499984740745262"/>
      </bottom>
      <diagonal/>
    </border>
    <border>
      <left style="thin">
        <color indexed="64"/>
      </left>
      <right style="thin">
        <color indexed="64"/>
      </right>
      <top style="thin">
        <color indexed="64"/>
      </top>
      <bottom style="medium">
        <color theme="6" tint="-0.499984740745262"/>
      </bottom>
      <diagonal/>
    </border>
    <border>
      <left style="thin">
        <color indexed="64"/>
      </left>
      <right style="medium">
        <color theme="6" tint="-0.499984740745262"/>
      </right>
      <top style="thin">
        <color indexed="64"/>
      </top>
      <bottom style="medium">
        <color theme="6" tint="-0.499984740745262"/>
      </bottom>
      <diagonal/>
    </border>
    <border>
      <left style="medium">
        <color theme="6" tint="-0.499984740745262"/>
      </left>
      <right/>
      <top/>
      <bottom/>
      <diagonal/>
    </border>
    <border>
      <left style="medium">
        <color theme="6" tint="-0.499984740745262"/>
      </left>
      <right/>
      <top style="medium">
        <color theme="6" tint="-0.499984740745262"/>
      </top>
      <bottom style="thin">
        <color indexed="64"/>
      </bottom>
      <diagonal/>
    </border>
    <border>
      <left/>
      <right/>
      <top style="medium">
        <color theme="6" tint="-0.499984740745262"/>
      </top>
      <bottom style="thin">
        <color indexed="64"/>
      </bottom>
      <diagonal/>
    </border>
    <border>
      <left/>
      <right style="medium">
        <color theme="6" tint="-0.499984740745262"/>
      </right>
      <top style="medium">
        <color theme="6" tint="-0.499984740745262"/>
      </top>
      <bottom style="thin">
        <color indexed="64"/>
      </bottom>
      <diagonal/>
    </border>
    <border>
      <left/>
      <right style="medium">
        <color theme="6" tint="-0.499984740745262"/>
      </right>
      <top style="thin">
        <color indexed="64"/>
      </top>
      <bottom style="thin">
        <color indexed="64"/>
      </bottom>
      <diagonal/>
    </border>
    <border>
      <left style="thin">
        <color indexed="64"/>
      </left>
      <right/>
      <top style="thin">
        <color indexed="64"/>
      </top>
      <bottom style="medium">
        <color theme="6" tint="-0.499984740745262"/>
      </bottom>
      <diagonal/>
    </border>
    <border>
      <left/>
      <right style="medium">
        <color theme="6" tint="-0.499984740745262"/>
      </right>
      <top style="thin">
        <color indexed="64"/>
      </top>
      <bottom style="medium">
        <color theme="6" tint="-0.499984740745262"/>
      </bottom>
      <diagonal/>
    </border>
    <border>
      <left/>
      <right/>
      <top style="thin">
        <color indexed="64"/>
      </top>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medium">
        <color theme="6" tint="-0.499984740745262"/>
      </bottom>
      <diagonal/>
    </border>
    <border>
      <left style="medium">
        <color theme="6" tint="-0.499984740745262"/>
      </left>
      <right style="medium">
        <color theme="6" tint="-0.499984740745262"/>
      </right>
      <top style="medium">
        <color theme="6" tint="-0.499984740745262"/>
      </top>
      <bottom style="thin">
        <color indexed="64"/>
      </bottom>
      <diagonal/>
    </border>
    <border>
      <left/>
      <right/>
      <top style="medium">
        <color theme="6" tint="-0.499984740745262"/>
      </top>
      <bottom/>
      <diagonal/>
    </border>
    <border>
      <left/>
      <right style="medium">
        <color theme="6" tint="-0.499984740745262"/>
      </right>
      <top style="medium">
        <color theme="6" tint="-0.499984740745262"/>
      </top>
      <bottom/>
      <diagonal/>
    </border>
    <border>
      <left/>
      <right style="medium">
        <color theme="6" tint="-0.499984740745262"/>
      </right>
      <top style="thin">
        <color indexed="64"/>
      </top>
      <bottom/>
      <diagonal/>
    </border>
    <border>
      <left/>
      <right style="thin">
        <color indexed="64"/>
      </right>
      <top style="medium">
        <color theme="6" tint="-0.499984740745262"/>
      </top>
      <bottom/>
      <diagonal/>
    </border>
    <border>
      <left/>
      <right style="thin">
        <color indexed="64"/>
      </right>
      <top style="medium">
        <color theme="6" tint="-0.499984740745262"/>
      </top>
      <bottom style="thin">
        <color indexed="64"/>
      </bottom>
      <diagonal/>
    </border>
  </borders>
  <cellStyleXfs count="1">
    <xf numFmtId="0" fontId="0" fillId="0" borderId="1" applyAlignment="1">
      <alignment vertical="top" wrapText="1"/>
    </xf>
  </cellStyleXfs>
  <cellXfs count="112">
    <xf numFmtId="0" fontId="0" fillId="0" borderId="0" applyAlignment="1" pivotButton="0" quotePrefix="0" xfId="0">
      <alignment vertical="top" wrapText="1"/>
    </xf>
    <xf numFmtId="0" fontId="1" fillId="2" borderId="0" applyAlignment="1" pivotButton="0" quotePrefix="0" xfId="0">
      <alignment vertical="top" wrapText="1"/>
    </xf>
    <xf numFmtId="0" fontId="2" fillId="2" borderId="0" applyAlignment="1" pivotButton="0" quotePrefix="0" xfId="0">
      <alignment vertical="top" wrapText="1"/>
    </xf>
    <xf numFmtId="49" fontId="3" fillId="2" borderId="1" applyAlignment="1" pivotButton="0" quotePrefix="0" xfId="0">
      <alignment horizontal="center" vertical="center" wrapText="1" readingOrder="1"/>
    </xf>
    <xf numFmtId="0" fontId="1" fillId="3" borderId="0" applyAlignment="1" pivotButton="0" quotePrefix="0" xfId="0">
      <alignment vertical="top" wrapText="1"/>
    </xf>
    <xf numFmtId="0" fontId="2" fillId="3" borderId="0" applyAlignment="1" pivotButton="0" quotePrefix="0" xfId="0">
      <alignment vertical="top" wrapText="1"/>
    </xf>
    <xf numFmtId="0" fontId="1" fillId="3" borderId="0" applyAlignment="1" pivotButton="0" quotePrefix="0" xfId="0">
      <alignment horizontal="center" vertical="top" wrapText="1"/>
    </xf>
    <xf numFmtId="49" fontId="4" fillId="3" borderId="2" applyAlignment="1" pivotButton="0" quotePrefix="0" xfId="0">
      <alignment horizontal="center" vertical="center" wrapText="1"/>
    </xf>
    <xf numFmtId="49" fontId="4" fillId="3" borderId="2" applyAlignment="1" pivotButton="0" quotePrefix="0" xfId="0">
      <alignment horizontal="center" vertical="center" wrapText="1" readingOrder="1"/>
    </xf>
    <xf numFmtId="0" fontId="4" fillId="3" borderId="2" applyAlignment="1" pivotButton="0" quotePrefix="0" xfId="0">
      <alignment horizontal="center" vertical="center" wrapText="1" readingOrder="1"/>
    </xf>
    <xf numFmtId="0" fontId="1" fillId="3" borderId="0" applyAlignment="1" pivotButton="0" quotePrefix="0" xfId="0">
      <alignment horizontal="center" vertical="center" wrapText="1"/>
    </xf>
    <xf numFmtId="0" fontId="2" fillId="3" borderId="0" applyAlignment="1" pivotButton="0" quotePrefix="0" xfId="0">
      <alignment horizontal="center" vertical="center" wrapText="1"/>
    </xf>
    <xf numFmtId="164" fontId="4" fillId="3" borderId="2" applyAlignment="1" pivotButton="0" quotePrefix="0" xfId="0">
      <alignment horizontal="center" vertical="center" wrapText="1" readingOrder="1"/>
    </xf>
    <xf numFmtId="164" fontId="4" fillId="3" borderId="1" applyAlignment="1" pivotButton="0" quotePrefix="0" xfId="0">
      <alignment horizontal="center" vertical="center" wrapText="1" readingOrder="1"/>
    </xf>
    <xf numFmtId="49" fontId="4" fillId="3" borderId="1" applyAlignment="1" pivotButton="0" quotePrefix="0" xfId="0">
      <alignment horizontal="center" vertical="center" wrapText="1" readingOrder="1"/>
    </xf>
    <xf numFmtId="164" fontId="6" fillId="3" borderId="1" applyAlignment="1" pivotButton="0" quotePrefix="0" xfId="0">
      <alignment horizontal="center" vertical="center" wrapText="1" readingOrder="1"/>
    </xf>
    <xf numFmtId="165" fontId="6" fillId="3" borderId="1" applyAlignment="1" pivotButton="0" quotePrefix="0" xfId="0">
      <alignment horizontal="center" vertical="center" wrapText="1" readingOrder="1"/>
    </xf>
    <xf numFmtId="165" fontId="2" fillId="3" borderId="1" applyAlignment="1" pivotButton="0" quotePrefix="0" xfId="0">
      <alignment horizontal="center" vertical="center" wrapText="1"/>
    </xf>
    <xf numFmtId="0" fontId="7" fillId="3" borderId="1" applyAlignment="1" pivotButton="0" quotePrefix="0" xfId="0">
      <alignment vertical="center"/>
    </xf>
    <xf numFmtId="0" fontId="8" fillId="3" borderId="1" applyAlignment="1" pivotButton="0" quotePrefix="0" xfId="0">
      <alignment vertical="center"/>
    </xf>
    <xf numFmtId="0" fontId="9" fillId="3" borderId="0" applyAlignment="1" pivotButton="0" quotePrefix="0" xfId="0">
      <alignment horizontal="center" vertical="center" wrapText="1"/>
    </xf>
    <xf numFmtId="49" fontId="10" fillId="3" borderId="4" applyAlignment="1" pivotButton="0" quotePrefix="0" xfId="0">
      <alignment horizontal="center" vertical="center" wrapText="1"/>
    </xf>
    <xf numFmtId="49" fontId="10" fillId="3" borderId="5" applyAlignment="1" pivotButton="0" quotePrefix="0" xfId="0">
      <alignment horizontal="center" vertical="center" wrapText="1"/>
    </xf>
    <xf numFmtId="49" fontId="10" fillId="3" borderId="6" applyAlignment="1" pivotButton="0" quotePrefix="0" xfId="0">
      <alignment horizontal="center" vertical="center" wrapText="1"/>
    </xf>
    <xf numFmtId="49" fontId="10" fillId="3" borderId="1" applyAlignment="1" pivotButton="0" quotePrefix="0" xfId="0">
      <alignment vertical="center" wrapText="1"/>
    </xf>
    <xf numFmtId="164" fontId="11" fillId="3" borderId="7" applyAlignment="1" pivotButton="0" quotePrefix="0" xfId="0">
      <alignment horizontal="center" vertical="center" wrapText="1"/>
    </xf>
    <xf numFmtId="4" fontId="11" fillId="3" borderId="2" applyAlignment="1" pivotButton="0" quotePrefix="0" xfId="0">
      <alignment horizontal="center" vertical="center" wrapText="1"/>
    </xf>
    <xf numFmtId="166" fontId="11" fillId="3" borderId="2" applyAlignment="1" pivotButton="0" quotePrefix="0" xfId="0">
      <alignment horizontal="center" vertical="center" wrapText="1"/>
    </xf>
    <xf numFmtId="167" fontId="11" fillId="3" borderId="2" applyAlignment="1" pivotButton="0" quotePrefix="0" xfId="0">
      <alignment horizontal="center" vertical="center" wrapText="1"/>
    </xf>
    <xf numFmtId="168" fontId="11" fillId="3" borderId="1" applyAlignment="1" pivotButton="0" quotePrefix="0" xfId="0">
      <alignment vertical="center" wrapText="1"/>
    </xf>
    <xf numFmtId="49" fontId="11" fillId="3" borderId="9" applyAlignment="1" pivotButton="0" quotePrefix="0" xfId="0">
      <alignment horizontal="center" vertical="center" wrapText="1"/>
    </xf>
    <xf numFmtId="4" fontId="11" fillId="3" borderId="10" applyAlignment="1" pivotButton="0" quotePrefix="0" xfId="0">
      <alignment horizontal="center" vertical="center" wrapText="1"/>
    </xf>
    <xf numFmtId="167" fontId="11" fillId="3" borderId="10" applyAlignment="1" pivotButton="0" quotePrefix="0" xfId="0">
      <alignment horizontal="center" vertical="center" wrapText="1"/>
    </xf>
    <xf numFmtId="49" fontId="11" fillId="3" borderId="1" applyAlignment="1" pivotButton="0" quotePrefix="0" xfId="0">
      <alignment horizontal="center" vertical="center" wrapText="1"/>
    </xf>
    <xf numFmtId="4" fontId="11" fillId="3" borderId="1" applyAlignment="1" pivotButton="0" quotePrefix="0" xfId="0">
      <alignment horizontal="center" vertical="center" wrapText="1"/>
    </xf>
    <xf numFmtId="167" fontId="11" fillId="3" borderId="1" applyAlignment="1" pivotButton="0" quotePrefix="0" xfId="0">
      <alignment horizontal="center" vertical="center" wrapText="1"/>
    </xf>
    <xf numFmtId="168" fontId="11" fillId="3" borderId="8" applyAlignment="1" pivotButton="0" quotePrefix="0" xfId="0">
      <alignment horizontal="center" vertical="center" wrapText="1"/>
    </xf>
    <xf numFmtId="0" fontId="11" fillId="3" borderId="8" applyAlignment="1" pivotButton="0" quotePrefix="0" xfId="0">
      <alignment horizontal="center" vertical="center" wrapText="1"/>
    </xf>
    <xf numFmtId="168" fontId="11" fillId="3" borderId="11" applyAlignment="1" pivotButton="0" quotePrefix="0" xfId="0">
      <alignment horizontal="center" vertical="center" wrapText="1"/>
    </xf>
    <xf numFmtId="168" fontId="11" fillId="3" borderId="1" applyAlignment="1" pivotButton="0" quotePrefix="0" xfId="0">
      <alignment horizontal="center" vertical="center" wrapText="1"/>
    </xf>
    <xf numFmtId="0" fontId="2" fillId="3" borderId="0" applyAlignment="1" pivotButton="0" quotePrefix="0" xfId="0">
      <alignment horizontal="center" vertical="top" wrapText="1"/>
    </xf>
    <xf numFmtId="0" fontId="1" fillId="2" borderId="0" applyAlignment="1" pivotButton="0" quotePrefix="0" xfId="0">
      <alignment horizontal="center" vertical="center" wrapText="1"/>
    </xf>
    <xf numFmtId="0" fontId="2" fillId="2" borderId="0" applyAlignment="1" pivotButton="0" quotePrefix="0" xfId="0">
      <alignment horizontal="center" vertical="center" wrapText="1"/>
    </xf>
    <xf numFmtId="0" fontId="2" fillId="3" borderId="1" applyAlignment="1" pivotButton="0" quotePrefix="0" xfId="0">
      <alignment vertical="top" wrapText="1"/>
    </xf>
    <xf numFmtId="168" fontId="11" fillId="3" borderId="17" applyAlignment="1" pivotButton="0" quotePrefix="0" xfId="0">
      <alignment vertical="center" wrapText="1"/>
    </xf>
    <xf numFmtId="166" fontId="11" fillId="3" borderId="20" applyAlignment="1" pivotButton="0" quotePrefix="0" xfId="0">
      <alignment vertical="center" wrapText="1"/>
    </xf>
    <xf numFmtId="0" fontId="2" fillId="3" borderId="21" applyAlignment="1" pivotButton="0" quotePrefix="0" xfId="0">
      <alignment vertical="top" wrapText="1"/>
    </xf>
    <xf numFmtId="0" fontId="1" fillId="3" borderId="1" applyAlignment="1" pivotButton="0" quotePrefix="0" xfId="0">
      <alignment vertical="top" wrapText="1"/>
    </xf>
    <xf numFmtId="169" fontId="11" fillId="3" borderId="17" applyAlignment="1" pivotButton="0" quotePrefix="0" xfId="0">
      <alignment vertical="center" wrapText="1"/>
    </xf>
    <xf numFmtId="166" fontId="11" fillId="3" borderId="17" applyAlignment="1" pivotButton="0" quotePrefix="0" xfId="0">
      <alignment vertical="center" wrapText="1"/>
    </xf>
    <xf numFmtId="166" fontId="12" fillId="3" borderId="20" applyAlignment="1" pivotButton="0" quotePrefix="0" xfId="0">
      <alignment vertical="center" wrapText="1"/>
    </xf>
    <xf numFmtId="49" fontId="11" fillId="3" borderId="16" applyAlignment="1" pivotButton="0" quotePrefix="0" xfId="0">
      <alignment vertical="center" wrapText="1"/>
    </xf>
    <xf numFmtId="49" fontId="13" fillId="3" borderId="18" applyAlignment="1" pivotButton="0" quotePrefix="0" xfId="0">
      <alignment vertical="top" wrapText="1"/>
    </xf>
    <xf numFmtId="0" fontId="2" fillId="3" borderId="1" applyAlignment="1" pivotButton="0" quotePrefix="0" xfId="0">
      <alignment horizontal="center" vertical="top" wrapText="1"/>
    </xf>
    <xf numFmtId="0" fontId="1" fillId="3" borderId="0" applyAlignment="1" pivotButton="0" quotePrefix="0" xfId="0">
      <alignment horizontal="center" vertical="top" wrapText="1"/>
    </xf>
    <xf numFmtId="164" fontId="13" fillId="3" borderId="26" applyAlignment="1" pivotButton="0" quotePrefix="0" xfId="0">
      <alignment horizontal="center" vertical="center" wrapText="1"/>
    </xf>
    <xf numFmtId="164" fontId="13" fillId="3" borderId="27" applyAlignment="1" pivotButton="0" quotePrefix="0" xfId="0">
      <alignment horizontal="center" vertical="center" wrapText="1"/>
    </xf>
    <xf numFmtId="0" fontId="9" fillId="3" borderId="0" applyAlignment="1" pivotButton="0" quotePrefix="0" xfId="0">
      <alignment horizontal="center" vertical="center"/>
    </xf>
    <xf numFmtId="0" fontId="8" fillId="3" borderId="13" applyAlignment="1" pivotButton="0" quotePrefix="0" xfId="0">
      <alignment horizontal="center" vertical="center"/>
    </xf>
    <xf numFmtId="0" fontId="8" fillId="3" borderId="14" applyAlignment="1" pivotButton="0" quotePrefix="0" xfId="0">
      <alignment horizontal="center" vertical="center"/>
    </xf>
    <xf numFmtId="0" fontId="8" fillId="3" borderId="15" applyAlignment="1" pivotButton="0" quotePrefix="0" xfId="0">
      <alignment horizontal="center" vertical="center"/>
    </xf>
    <xf numFmtId="0" fontId="8" fillId="3" borderId="22" applyAlignment="1" pivotButton="0" quotePrefix="0" xfId="0">
      <alignment horizontal="center" vertical="center"/>
    </xf>
    <xf numFmtId="0" fontId="8" fillId="3" borderId="23" applyAlignment="1" pivotButton="0" quotePrefix="0" xfId="0">
      <alignment horizontal="center" vertical="center"/>
    </xf>
    <xf numFmtId="0" fontId="8" fillId="3" borderId="24" applyAlignment="1" pivotButton="0" quotePrefix="0" xfId="0">
      <alignment horizontal="center" vertical="center"/>
    </xf>
    <xf numFmtId="49" fontId="11" fillId="3" borderId="16" applyAlignment="1" pivotButton="0" quotePrefix="0" xfId="0">
      <alignment horizontal="center" vertical="center" wrapText="1"/>
    </xf>
    <xf numFmtId="49" fontId="11" fillId="3" borderId="2" applyAlignment="1" pivotButton="0" quotePrefix="0" xfId="0">
      <alignment horizontal="center" vertical="center" wrapText="1"/>
    </xf>
    <xf numFmtId="49" fontId="11" fillId="3" borderId="18" applyAlignment="1" pivotButton="0" quotePrefix="0" xfId="0">
      <alignment horizontal="center" vertical="center" wrapText="1"/>
    </xf>
    <xf numFmtId="49" fontId="11" fillId="3" borderId="19" applyAlignment="1" pivotButton="0" quotePrefix="0" xfId="0">
      <alignment horizontal="center" vertical="center" wrapText="1"/>
    </xf>
    <xf numFmtId="0" fontId="14" fillId="3" borderId="0" applyAlignment="1" pivotButton="0" quotePrefix="0" xfId="0">
      <alignment horizontal="left" vertical="top" wrapText="1"/>
    </xf>
    <xf numFmtId="0" fontId="16" fillId="3" borderId="0" applyAlignment="1" pivotButton="0" quotePrefix="0" xfId="0">
      <alignment horizontal="left" vertical="top" wrapText="1"/>
    </xf>
    <xf numFmtId="0" fontId="8" fillId="3" borderId="12" applyAlignment="1" pivotButton="0" quotePrefix="0" xfId="0">
      <alignment horizontal="center" vertical="center"/>
    </xf>
    <xf numFmtId="49" fontId="3" fillId="2" borderId="1" applyAlignment="1" pivotButton="0" quotePrefix="0" xfId="0">
      <alignment horizontal="center" vertical="center" wrapText="1" readingOrder="1"/>
    </xf>
    <xf numFmtId="0" fontId="5" fillId="2" borderId="1" applyAlignment="1" pivotButton="0" quotePrefix="0" xfId="0">
      <alignment vertical="top" wrapText="1"/>
    </xf>
    <xf numFmtId="165" fontId="6" fillId="3" borderId="2" applyAlignment="1" pivotButton="0" quotePrefix="0" xfId="0">
      <alignment horizontal="center" vertical="center" wrapText="1" readingOrder="1"/>
    </xf>
    <xf numFmtId="165" fontId="2" fillId="3" borderId="2" applyAlignment="1" pivotButton="0" quotePrefix="0" xfId="0">
      <alignment horizontal="center" vertical="center" wrapText="1"/>
    </xf>
    <xf numFmtId="164" fontId="6" fillId="3" borderId="2" applyAlignment="1" pivotButton="0" quotePrefix="0" xfId="0">
      <alignment horizontal="center" vertical="center" wrapText="1" readingOrder="1"/>
    </xf>
    <xf numFmtId="49" fontId="11" fillId="3" borderId="3" applyAlignment="1" pivotButton="0" quotePrefix="0" xfId="0">
      <alignment horizontal="center" vertical="center" wrapText="1"/>
    </xf>
    <xf numFmtId="49" fontId="11" fillId="3" borderId="25" applyAlignment="1" pivotButton="0" quotePrefix="0" xfId="0">
      <alignment horizontal="center" vertical="center" wrapText="1"/>
    </xf>
    <xf numFmtId="0" fontId="0" fillId="0" borderId="0" pivotButton="0" quotePrefix="0" xfId="0"/>
    <xf numFmtId="0" fontId="20" fillId="3" borderId="1" applyAlignment="1" pivotButton="0" quotePrefix="0" xfId="0">
      <alignment vertical="top" wrapText="1"/>
    </xf>
    <xf numFmtId="0" fontId="19" fillId="3" borderId="1" applyAlignment="1" pivotButton="0" quotePrefix="0" xfId="0">
      <alignment horizontal="center" vertical="center"/>
    </xf>
    <xf numFmtId="49" fontId="21" fillId="3" borderId="2" applyAlignment="1" pivotButton="0" quotePrefix="0" xfId="0">
      <alignment horizontal="center" vertical="center" wrapText="1" readingOrder="1"/>
    </xf>
    <xf numFmtId="164" fontId="4" fillId="3" borderId="2" applyAlignment="1" pivotButton="0" quotePrefix="0" xfId="0">
      <alignment horizontal="center" vertical="center" wrapText="1" readingOrder="1"/>
    </xf>
    <xf numFmtId="164" fontId="6" fillId="3" borderId="2" applyAlignment="1" pivotButton="0" quotePrefix="0" xfId="0">
      <alignment horizontal="center" vertical="center" wrapText="1" readingOrder="1"/>
    </xf>
    <xf numFmtId="0" fontId="0" fillId="0" borderId="31" pivotButton="0" quotePrefix="0" xfId="0"/>
    <xf numFmtId="0" fontId="0" fillId="0" borderId="30" pivotButton="0" quotePrefix="0" xfId="0"/>
    <xf numFmtId="165" fontId="6" fillId="3" borderId="2" applyAlignment="1" pivotButton="0" quotePrefix="0" xfId="0">
      <alignment horizontal="center" vertical="center" wrapText="1" readingOrder="1"/>
    </xf>
    <xf numFmtId="164" fontId="4" fillId="3" borderId="1" applyAlignment="1" pivotButton="0" quotePrefix="0" xfId="0">
      <alignment horizontal="center" vertical="center" wrapText="1" readingOrder="1"/>
    </xf>
    <xf numFmtId="164" fontId="6" fillId="3" borderId="1" applyAlignment="1" pivotButton="0" quotePrefix="0" xfId="0">
      <alignment horizontal="center" vertical="center" wrapText="1" readingOrder="1"/>
    </xf>
    <xf numFmtId="165" fontId="6" fillId="3" borderId="1" applyAlignment="1" pivotButton="0" quotePrefix="0" xfId="0">
      <alignment horizontal="center" vertical="center" wrapText="1" readingOrder="1"/>
    </xf>
    <xf numFmtId="165" fontId="2" fillId="3" borderId="1" applyAlignment="1" pivotButton="0" quotePrefix="0" xfId="0">
      <alignment horizontal="center" vertical="center" wrapText="1"/>
    </xf>
    <xf numFmtId="0" fontId="0" fillId="0" borderId="12" pivotButton="0" quotePrefix="0" xfId="0"/>
    <xf numFmtId="0" fontId="9" fillId="3" borderId="1" applyAlignment="1" pivotButton="0" quotePrefix="0" xfId="0">
      <alignment horizontal="center" vertical="center"/>
    </xf>
    <xf numFmtId="164" fontId="11" fillId="3" borderId="7" applyAlignment="1" pivotButton="0" quotePrefix="0" xfId="0">
      <alignment horizontal="center" vertical="center" wrapText="1"/>
    </xf>
    <xf numFmtId="4" fontId="11" fillId="3" borderId="8" applyAlignment="1" pivotButton="0" quotePrefix="0" xfId="0">
      <alignment horizontal="center" vertical="center"/>
    </xf>
    <xf numFmtId="168" fontId="11" fillId="3" borderId="1" applyAlignment="1" pivotButton="0" quotePrefix="0" xfId="0">
      <alignment vertical="center" wrapText="1"/>
    </xf>
    <xf numFmtId="168" fontId="11" fillId="3" borderId="8" applyAlignment="1" pivotButton="0" quotePrefix="0" xfId="0">
      <alignment horizontal="center" vertical="center" wrapText="1"/>
    </xf>
    <xf numFmtId="168" fontId="11" fillId="3" borderId="11" applyAlignment="1" pivotButton="0" quotePrefix="0" xfId="0">
      <alignment horizontal="center" vertical="center" wrapText="1"/>
    </xf>
    <xf numFmtId="168" fontId="11" fillId="3" borderId="1" applyAlignment="1" pivotButton="0" quotePrefix="0" xfId="0">
      <alignment horizontal="center" vertical="center" wrapText="1"/>
    </xf>
    <xf numFmtId="0" fontId="0" fillId="0" borderId="23" pivotButton="0" quotePrefix="0" xfId="0"/>
    <xf numFmtId="0" fontId="0" fillId="0" borderId="38" pivotButton="0" quotePrefix="0" xfId="0"/>
    <xf numFmtId="0" fontId="8" fillId="3" borderId="33" applyAlignment="1" pivotButton="0" quotePrefix="0" xfId="0">
      <alignment horizontal="center" vertical="center"/>
    </xf>
    <xf numFmtId="0" fontId="0" fillId="0" borderId="24" pivotButton="0" quotePrefix="0" xfId="0"/>
    <xf numFmtId="168" fontId="11" fillId="3" borderId="17" applyAlignment="1" pivotButton="0" quotePrefix="0" xfId="0">
      <alignment vertical="center" wrapText="1"/>
    </xf>
    <xf numFmtId="4" fontId="11" fillId="3" borderId="17" applyAlignment="1" pivotButton="0" quotePrefix="0" xfId="0">
      <alignment vertical="center" wrapText="1"/>
    </xf>
    <xf numFmtId="0" fontId="0" fillId="0" borderId="32" pivotButton="0" quotePrefix="0" xfId="0"/>
    <xf numFmtId="4" fontId="11" fillId="3" borderId="20" applyAlignment="1" pivotButton="0" quotePrefix="0" xfId="0">
      <alignment vertical="center" wrapText="1"/>
    </xf>
    <xf numFmtId="49" fontId="22" fillId="3" borderId="17" applyAlignment="1" pivotButton="0" quotePrefix="0" xfId="0">
      <alignment horizontal="center" vertical="center" wrapText="1"/>
    </xf>
    <xf numFmtId="0" fontId="0" fillId="0" borderId="25" pivotButton="0" quotePrefix="0" xfId="0"/>
    <xf numFmtId="164" fontId="13" fillId="3" borderId="20" applyAlignment="1" pivotButton="0" quotePrefix="0" xfId="0">
      <alignment horizontal="center" vertical="center" wrapText="1"/>
    </xf>
    <xf numFmtId="0" fontId="0" fillId="0" borderId="27" pivotButton="0" quotePrefix="0" xfId="0"/>
    <xf numFmtId="0" fontId="14" fillId="3" borderId="1" applyAlignment="1" pivotButton="0" quotePrefix="0" xfId="0">
      <alignment horizontal="left" vertical="top" wrapText="1"/>
    </xf>
  </cellXfs>
  <cellStyles count="1">
    <cellStyle name="Normal" xfId="0" builtinId="0"/>
  </cellStyles>
  <dxfs count="17">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b val="1"/>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val="1"/>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val="1"/>
        <color rgb="FF000000"/>
      </font>
      <border>
        <left style="thin">
          <color indexed="14"/>
        </left>
        <right style="thin">
          <color indexed="14"/>
        </right>
        <top style="thin">
          <color indexed="24"/>
        </top>
        <bottom style="thin">
          <color indexed="24"/>
        </bottom>
        <vertical style="thin">
          <color indexed="15"/>
        </vertical>
        <horizontal style="thin">
          <color indexed="15"/>
        </horizontal>
      </border>
    </dxf>
    <dxf>
      <font>
        <b val="1"/>
        <color rgb="FF000000"/>
      </font>
      <fill>
        <patternFill patternType="solid">
          <fgColor indexed="25"/>
          <bgColor indexed="23"/>
        </patternFill>
      </fill>
      <border>
        <left style="thin">
          <color indexed="14"/>
        </left>
        <right style="thin">
          <color indexed="14"/>
        </right>
        <top style="thin">
          <color indexed="14"/>
        </top>
        <bottom style="thin">
          <color indexed="24"/>
        </bottom>
        <horizontal style="thin">
          <color indexed="15"/>
        </horizontal>
      </border>
    </dxf>
    <dxf>
      <font>
        <color rgb="FF000000"/>
      </font>
      <border>
        <left style="thin">
          <color indexed="14"/>
        </left>
        <right style="thin">
          <color indexed="14"/>
        </right>
        <top style="thin">
          <color indexed="14"/>
        </top>
        <bottom style="thin">
          <color indexed="14"/>
        </bottom>
        <vertical style="thin">
          <color indexed="15"/>
        </vertical>
        <horizontal style="thin">
          <color indexed="15"/>
        </horizontal>
      </border>
    </dxf>
  </dxfs>
  <tableStyles count="1" defaultTableStyle="TableStyleMedium9" defaultPivotStyle="PivotStyleLight16">
    <tableStyle name="PivotStyleCustom01" count="17">
      <tableStyleElement type="wholeTable" dxfId="16"/>
      <tableStyleElement type="headerRow" dxfId="15"/>
      <tableStyleElement type="totalRow" dxfId="14"/>
      <tableStyleElement type="firstColumn" dxfId="13"/>
      <tableStyleElement type="lastColumn" dxfId="12"/>
      <tableStyleElement type="firstSubtotalColumn" dxfId="11"/>
      <tableStyleElement type="secondSubtotalColumn" dxfId="10"/>
      <tableStyleElement type="thirdSubtotalColumn" dxfId="9"/>
      <tableStyleElement type="firstSubtotalRow" dxfId="8"/>
      <tableStyleElement type="secondSubtotalRow" dxfId="7"/>
      <tableStyleElement type="thirdSubtotalRow" dxfId="6"/>
      <tableStyleElement type="firstColumnSubheading" dxfId="5"/>
      <tableStyleElement type="secondColumnSubheading" dxfId="4"/>
      <tableStyleElement type="thirdColumnSubheading" dxfId="3"/>
      <tableStyleElement type="firstRowSubheading" dxfId="2"/>
      <tableStyleElement type="secondRowSubheading" dxfId="1"/>
      <tableStyleElement type="thirdRowSubheading" dxfId="0"/>
    </tableStyle>
  </tableStyles>
  <colors>
    <indexedColors>
      <rgbColor rgb="FF000000"/>
      <rgbColor rgb="FFFFFFFF"/>
      <rgbColor rgb="FFFF0000"/>
      <rgbColor rgb="FF00FF00"/>
      <rgbColor rgb="FF0000FF"/>
      <rgbColor rgb="FFFFFF00"/>
      <rgbColor rgb="FFFF00FF"/>
      <rgbColor rgb="FF00FFFF"/>
      <rgbColor rgb="FF000000"/>
      <rgbColor rgb="FFFFFBEF"/>
      <rgbColor rgb="FF5C5C5C"/>
      <rgbColor rgb="FFF0EBE2"/>
      <rgbColor rgb="FFFEFFFE"/>
      <rgbColor rgb="FF5A5754"/>
      <rgbColor rgb="FFB3AFAA"/>
      <rgbColor rgb="FFCCCAC6"/>
      <rgbColor rgb="FFE4E2DE"/>
      <rgbColor rgb="FFD1D2D4"/>
      <rgbColor rgb="FFE0E1E2"/>
      <rgbColor rgb="FFB8B8B8"/>
      <rgbColor rgb="FFE4E2E0"/>
      <rgbColor rgb="FF55A86E"/>
      <rgbColor rgb="FF494A49"/>
      <rgbColor rgb="FFE6E2DF"/>
      <rgbColor rgb="FF9A958E"/>
      <rgbColor rgb="00000000"/>
      <rgbColor rgb="FFF4F0E5"/>
      <rgbColor rgb="FFDFDAD2"/>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drawing1.xml><?xml version="1.0" encoding="utf-8"?>
<wsDr xmlns="http://schemas.openxmlformats.org/drawingml/2006/spreadsheetDrawing">
  <twoCellAnchor>
    <from>
      <col>1</col>
      <colOff>10701</colOff>
      <row>0</row>
      <rowOff>151583</rowOff>
    </from>
    <to>
      <col>2</col>
      <colOff>1469571</colOff>
      <row>0</row>
      <rowOff>1426036</rowOff>
    </to>
    <pic>
      <nvPicPr>
        <cNvPr id="3" name="LOGO.png" descr="LOGO.png"/>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65130" y="151583"/>
          <a:ext cx="2887620" cy="1274453"/>
        </a:xfrm>
        <a:prstGeom xmlns:a="http://schemas.openxmlformats.org/drawingml/2006/main" prst="rect">
          <avLst/>
        </a:prstGeom>
        <a:ln xmlns:a="http://schemas.openxmlformats.org/drawingml/2006/main" w="12700" cap="flat">
          <a:noFill/>
          <a:prstDash val="solid"/>
          <a:miter lim="400000"/>
        </a:ln>
      </spPr>
    </pic>
    <clientData/>
  </twoCellAnchor>
  <oneCellAnchor>
    <from>
      <col>1</col>
      <colOff>0</colOff>
      <row>58</row>
      <rowOff>0</rowOff>
    </from>
    <ext cx="10477500" cy="38100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26_Retirement_Savings">
  <a:themeElements>
    <a:clrScheme name="26_Retirement_Savings">
      <a:dk1>
        <a:srgbClr val="000000"/>
      </a:dk1>
      <a:lt1>
        <a:srgbClr val="FFFFFF"/>
      </a:lt1>
      <a:dk2>
        <a:srgbClr val="4A4A4B"/>
      </a:dk2>
      <a:lt2>
        <a:srgbClr val="C2C3C6"/>
      </a:lt2>
      <a:accent1>
        <a:srgbClr val="53BBE0"/>
      </a:accent1>
      <a:accent2>
        <a:srgbClr val="6DCFB9"/>
      </a:accent2>
      <a:accent3>
        <a:srgbClr val="90BF72"/>
      </a:accent3>
      <a:accent4>
        <a:srgbClr val="F2C34A"/>
      </a:accent4>
      <a:accent5>
        <a:srgbClr val="FF4741"/>
      </a:accent5>
      <a:accent6>
        <a:srgbClr val="FF8700"/>
      </a:accent6>
      <a:hlink>
        <a:srgbClr val="0000FF"/>
      </a:hlink>
      <a:folHlink>
        <a:srgbClr val="FF00FF"/>
      </a:folHlink>
    </a:clrScheme>
    <a:fontScheme name="26_Retirement_Savings">
      <a:majorFont>
        <a:latin typeface="Publico Headline Roman"/>
        <a:ea typeface="Publico Headline Roman"/>
        <a:cs typeface="Publico Headline Roman"/>
      </a:majorFont>
      <a:minorFont>
        <a:latin typeface="Avenir Next Regular"/>
        <a:ea typeface="Avenir Next Regular"/>
        <a:cs typeface="Avenir Next Regular"/>
      </a:minorFont>
    </a:fontScheme>
    <a:fmtScheme name="26_Retirement_Savings">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4B4A4B"/>
        </a:solidFill>
        <a:ln w="12700" cap="flat">
          <a:noFill/>
          <a:miter lim="400000"/>
        </a:ln>
        <a:effectLst/>
        <a:sp3d/>
      </a:spPr>
      <a:bodyPr rot="0" spcFirstLastPara="1" vertOverflow="overflow" horzOverflow="overflow" vert="horz" wrap="square" lIns="50800" tIns="50800" rIns="50800" bIns="50800" numCol="1" spcCol="38100" rtlCol="0" anchor="ctr">
        <a:spAutoFit/>
      </a:bodyPr>
      <a:lstStyle>
        <a:defPPr marL="0" marR="0" indent="0" algn="ctr" defTabSz="584200" rtl="0" fontAlgn="auto" latinLnBrk="0" hangingPunct="0">
          <a:lnSpc>
            <a:spcPct val="100000"/>
          </a:lnSpc>
          <a:spcBef>
            <a:spcPts val="0"/>
          </a:spcBef>
          <a:spcAft>
            <a:spcPts val="0"/>
          </a:spcAft>
          <a:buClrTx/>
          <a:buSzTx/>
          <a:buFontTx/>
          <a:buNone/>
          <a:defRPr kumimoji="0" sz="1400" b="0" i="0" u="none" strike="noStrike" cap="all" spc="0" normalizeH="0" baseline="0">
            <a:ln>
              <a:noFill/>
            </a:ln>
            <a:solidFill>
              <a:srgbClr val="FFFFFF"/>
            </a:solidFill>
            <a:effectLst/>
            <a:uFillTx/>
            <a:latin typeface="Publico Text Roman"/>
            <a:ea typeface="Publico Text Roman"/>
            <a:cs typeface="Publico Text Roman"/>
            <a:sym typeface="Publico Text Roman"/>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0" hangingPunct="0">
          <a:lnSpc>
            <a:spcPct val="100000"/>
          </a:lnSpc>
          <a:spcBef>
            <a:spcPts val="40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Avenir Next Regular"/>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M57"/>
  <sheetViews>
    <sheetView showGridLines="0" tabSelected="1" topLeftCell="A34" zoomScale="70" zoomScaleNormal="70" workbookViewId="0">
      <selection activeCell="A39" sqref="A39:XFD39"/>
    </sheetView>
  </sheetViews>
  <sheetFormatPr baseColWidth="10" defaultColWidth="41.6640625" defaultRowHeight="21.5" customHeight="1"/>
  <cols>
    <col width="0.83203125" customWidth="1" style="5" min="1" max="1"/>
    <col width="19.5" customWidth="1" style="5" min="2" max="2"/>
    <col width="22.5" customWidth="1" style="5" min="3" max="3"/>
    <col width="19.83203125" customWidth="1" style="5" min="4" max="4"/>
    <col width="14.83203125" customWidth="1" style="5" min="5" max="5"/>
    <col width="21.6640625" customWidth="1" style="5" min="6" max="6"/>
    <col width="33.5" customWidth="1" style="40" min="7" max="7"/>
    <col width="20.33203125" customWidth="1" style="5" min="8" max="8"/>
    <col width="19.6640625" customWidth="1" style="4" min="9" max="9"/>
    <col width="32.6640625" customWidth="1" style="4" min="10" max="10"/>
    <col width="29" customWidth="1" style="4" min="11" max="11"/>
    <col width="27.33203125" customWidth="1" style="4" min="12" max="12"/>
    <col width="36.83203125" customWidth="1" style="4" min="13" max="13"/>
    <col width="41.5" customWidth="1" style="5" min="14" max="14"/>
    <col width="21.5" customWidth="1" style="5" min="15" max="15"/>
    <col width="44.83203125" customWidth="1" style="5" min="16" max="16"/>
    <col width="31" customWidth="1" style="5" min="17" max="17"/>
    <col width="20.1640625" customWidth="1" style="5" min="18" max="18"/>
    <col width="55.6640625" customWidth="1" style="5" min="19" max="19"/>
    <col width="44.83203125" customWidth="1" style="5" min="20" max="20"/>
    <col width="31" customWidth="1" style="5" min="21" max="21"/>
    <col width="44.83203125" customWidth="1" style="5" min="22" max="22"/>
    <col width="31" customWidth="1" style="5" min="23" max="23"/>
    <col width="41.6640625" customWidth="1" style="5" min="24" max="24"/>
    <col width="41.6640625" customWidth="1" style="5" min="25" max="16384"/>
  </cols>
  <sheetData>
    <row r="1" ht="160" customHeight="1" s="78">
      <c r="B1" s="4" t="n"/>
      <c r="C1" s="4" t="n"/>
      <c r="D1" s="4" t="n"/>
      <c r="E1" s="4" t="n"/>
      <c r="F1" s="4" t="n"/>
      <c r="G1" s="79" t="inlineStr">
        <is>
          <t>Φορέας Σωρευτικής Εκπροσώπησης ΑΠΕ (Φο.Σ.Ε.)
Διεύθυνση: Φιλοπάππου 19, Αθήνα 11741, Ελλάδα 
ΑΦΜ: 801961185, ΓΕΜΗ: 167104201000, ΔΟΥ:ΦΑΕ Αθηνών 
e-mail: info@greenvalue.gr</t>
        </is>
      </c>
    </row>
    <row r="2" ht="80" customHeight="1" s="78">
      <c r="B2" s="4" t="n"/>
      <c r="C2" s="80" t="inlineStr">
        <is>
          <t>Ενημερωτικό Σημείωμα Δεκεμβρίου 2025</t>
        </is>
      </c>
      <c r="H2" s="4" t="n"/>
    </row>
    <row r="3" ht="40" customFormat="1" customHeight="1" s="42">
      <c r="B3" s="71" t="inlineStr">
        <is>
          <t>Α.Μ. ΑΠΕ</t>
        </is>
      </c>
      <c r="C3" s="71" t="inlineStr">
        <is>
          <t>Εταιρεία</t>
        </is>
      </c>
      <c r="D3" s="71" t="inlineStr">
        <is>
          <t>ΑΦΜ</t>
        </is>
      </c>
      <c r="E3" s="71" t="inlineStr">
        <is>
          <t>ΔΟΥ</t>
        </is>
      </c>
      <c r="F3" s="71" t="inlineStr">
        <is>
          <t>Διεύθυνση</t>
        </is>
      </c>
      <c r="G3" s="71" t="inlineStr">
        <is>
          <t>Email</t>
        </is>
      </c>
      <c r="H3" s="71" t="inlineStr">
        <is>
          <t>Τεχνολογία</t>
        </is>
      </c>
      <c r="I3" s="41" t="n"/>
      <c r="J3" s="41" t="n"/>
      <c r="K3" s="41" t="n"/>
      <c r="L3" s="41" t="n"/>
      <c r="M3" s="41" t="n"/>
    </row>
    <row r="4" ht="100" customFormat="1" customHeight="1" s="11">
      <c r="B4" s="7" t="inlineStr">
        <is>
          <t>531PH80824</t>
        </is>
      </c>
      <c r="C4" s="81" t="inlineStr">
        <is>
          <t>ΕΝ. ΚΟΙΝΟΤ. ΠΕΡ. ΕΥΘΥΝΗΣ ΑΠΟΛΛΩΝ ΗΛΕΚΤΡΟΕΝΕΡΓΕΙΑΚΗ ΚΟΖΑΝΗΣ_1</t>
        </is>
      </c>
      <c r="D4" s="9" t="n">
        <v>996877818</v>
      </c>
      <c r="E4" s="8" t="inlineStr">
        <is>
          <t>ΚΟΖΑΝΗΣ</t>
        </is>
      </c>
      <c r="F4" s="8" t="inlineStr">
        <is>
          <t>ΑΤ ΙΔΙΟΚΤΗΣΙΑΣ ΑΦΩΝ ΨΑΛΛΙΔΑ,ΣΥΝΟΛΙΚΗΣ ΕΚΤΑΣΗΣ 13300 Τ.Μ.</t>
        </is>
      </c>
      <c r="G4" s="8" t="inlineStr">
        <is>
          <t>gpatoul@gmail.com</t>
        </is>
      </c>
      <c r="H4" s="8" t="inlineStr">
        <is>
          <t>Φ/Β</t>
        </is>
      </c>
      <c r="I4" s="10" t="n"/>
      <c r="J4" s="10" t="n"/>
      <c r="K4" s="10" t="n"/>
      <c r="L4" s="10" t="n"/>
      <c r="M4" s="10" t="n"/>
    </row>
    <row r="5" ht="50" customFormat="1" customHeight="1" s="2">
      <c r="B5" s="71" t="inlineStr">
        <is>
          <t>Ημερομηνία</t>
        </is>
      </c>
      <c r="C5" s="71" t="inlineStr">
        <is>
          <t>Έκδοση</t>
        </is>
      </c>
      <c r="D5" s="71" t="inlineStr">
        <is>
          <t xml:space="preserve">Περίοδος Εκκαθάρισης </t>
        </is>
      </c>
      <c r="G5" s="71" t="inlineStr">
        <is>
          <t>ΣΥΝΟΛΟ ΜΕ ΦΠΑ</t>
        </is>
      </c>
      <c r="I5" s="1" t="n"/>
      <c r="J5" s="1" t="n"/>
      <c r="K5" s="1" t="n"/>
      <c r="L5" s="1" t="n"/>
      <c r="M5" s="1" t="n"/>
    </row>
    <row r="6" ht="60.75" customFormat="1" customHeight="1" s="11">
      <c r="B6" s="82" t="inlineStr">
        <is>
          <t>12/01/26</t>
        </is>
      </c>
      <c r="C6" s="8" t="inlineStr">
        <is>
          <t>Αρχική</t>
        </is>
      </c>
      <c r="D6" s="83" t="inlineStr">
        <is>
          <t>11/12/25-31/12/25</t>
        </is>
      </c>
      <c r="E6" s="84" t="n"/>
      <c r="F6" s="85" t="n"/>
      <c r="G6" s="86">
        <f>H54</f>
        <v/>
      </c>
      <c r="H6" s="85" t="n"/>
      <c r="I6" s="10" t="n"/>
      <c r="J6" s="10" t="n"/>
      <c r="K6" s="10" t="n"/>
      <c r="L6" s="10" t="n"/>
      <c r="M6" s="10" t="n"/>
    </row>
    <row r="7" ht="14" customFormat="1" customHeight="1" s="11">
      <c r="B7" s="87" t="n"/>
      <c r="C7" s="14" t="n"/>
      <c r="D7" s="88" t="n"/>
      <c r="E7" s="88" t="n"/>
      <c r="F7" s="88" t="n"/>
      <c r="G7" s="89" t="n"/>
      <c r="H7" s="90" t="n"/>
      <c r="I7" s="10" t="n"/>
      <c r="J7" s="10" t="n"/>
      <c r="K7" s="10" t="n"/>
      <c r="L7" s="10" t="n"/>
      <c r="M7" s="10" t="n"/>
    </row>
    <row r="8" ht="43" customHeight="1" s="78" thickBot="1">
      <c r="B8" s="18" t="n"/>
      <c r="C8" s="70" t="inlineStr">
        <is>
          <t>Ανάλυση Μηνιαίας Εκκαθάρισης Παραγωγής Ενέργειας Σταθμού</t>
        </is>
      </c>
      <c r="D8" s="91" t="n"/>
      <c r="E8" s="91" t="n"/>
      <c r="F8" s="91" t="n"/>
      <c r="G8" s="91" t="n"/>
      <c r="H8" s="19" t="n"/>
    </row>
    <row r="9" ht="53.5" customFormat="1" customHeight="1" s="20">
      <c r="C9" s="21" t="inlineStr">
        <is>
          <t>Περίοδος Εκκαθάρισης</t>
        </is>
      </c>
      <c r="D9" s="22" t="inlineStr">
        <is>
          <t>Παραγωγή Ενέργειας βάσει μετρήσεων (kWh)</t>
        </is>
      </c>
      <c r="E9" s="22" t="inlineStr">
        <is>
          <t>Αξία Ενέργειας βάσει μετρήσεων (€)</t>
        </is>
      </c>
      <c r="F9" s="22" t="inlineStr">
        <is>
          <t>Προμήθεια GREEN VALUE (€)</t>
        </is>
      </c>
      <c r="G9" s="23" t="inlineStr">
        <is>
          <t>Μεσοσταθμική Τιμή Αγοράς  κατά τις ώρες παραγωγής του σταθμού</t>
        </is>
      </c>
      <c r="H9" s="24" t="n"/>
      <c r="I9" s="92" t="n"/>
    </row>
    <row r="10" ht="31.75" customHeight="1" s="78">
      <c r="C10" s="93" t="inlineStr">
        <is>
          <t>11/12/25</t>
        </is>
      </c>
      <c r="D10" s="26" t="n">
        <v>1743.06</v>
      </c>
      <c r="E10" s="26" t="n">
        <v>82.70119940000001</v>
      </c>
      <c r="F10" s="26" t="n">
        <v>1.74</v>
      </c>
      <c r="G10" s="94" t="n">
        <v>47.45</v>
      </c>
      <c r="H10" s="95" t="n"/>
    </row>
    <row r="11" ht="30" customHeight="1" s="78">
      <c r="C11" s="93" t="inlineStr">
        <is>
          <t>12/12/25</t>
        </is>
      </c>
      <c r="D11" s="26" t="n">
        <v>1842.92</v>
      </c>
      <c r="E11" s="26" t="n">
        <v>159.5011444</v>
      </c>
      <c r="F11" s="26" t="n">
        <v>1.84</v>
      </c>
      <c r="G11" s="94" t="n">
        <v>86.55</v>
      </c>
      <c r="H11" s="95" t="n"/>
    </row>
    <row r="12" ht="28.5" customHeight="1" s="78">
      <c r="C12" s="93" t="inlineStr">
        <is>
          <t>13/12/25</t>
        </is>
      </c>
      <c r="D12" s="26" t="n">
        <v>1790.52</v>
      </c>
      <c r="E12" s="26" t="n">
        <v>157.3078874</v>
      </c>
      <c r="F12" s="26" t="n">
        <v>1.79</v>
      </c>
      <c r="G12" s="94" t="n">
        <v>87.86</v>
      </c>
      <c r="H12" s="95" t="n"/>
    </row>
    <row r="13" ht="28.5" customHeight="1" s="78">
      <c r="C13" s="93" t="inlineStr">
        <is>
          <t>14/12/25</t>
        </is>
      </c>
      <c r="D13" s="26" t="n">
        <v>1838.46</v>
      </c>
      <c r="E13" s="26" t="n">
        <v>148.5211918</v>
      </c>
      <c r="F13" s="26" t="n">
        <v>1.84</v>
      </c>
      <c r="G13" s="94" t="n">
        <v>80.79000000000001</v>
      </c>
      <c r="H13" s="95" t="n"/>
    </row>
    <row r="14" ht="28.5" customHeight="1" s="78">
      <c r="C14" s="93" t="inlineStr">
        <is>
          <t>15/12/25</t>
        </is>
      </c>
      <c r="D14" s="26" t="n">
        <v>1843.04</v>
      </c>
      <c r="E14" s="26" t="n">
        <v>153.9970456</v>
      </c>
      <c r="F14" s="26" t="n">
        <v>1.84</v>
      </c>
      <c r="G14" s="94" t="n">
        <v>83.56</v>
      </c>
      <c r="H14" s="95" t="n"/>
    </row>
    <row r="15" ht="28.5" customHeight="1" s="78">
      <c r="C15" s="93" t="inlineStr">
        <is>
          <t>16/12/25</t>
        </is>
      </c>
      <c r="D15" s="26" t="n">
        <v>1150.82</v>
      </c>
      <c r="E15" s="26" t="n">
        <v>109.1047806</v>
      </c>
      <c r="F15" s="26" t="n">
        <v>1.15</v>
      </c>
      <c r="G15" s="94" t="n">
        <v>94.81</v>
      </c>
      <c r="H15" s="95" t="n"/>
    </row>
    <row r="16" ht="28.5" customHeight="1" s="78">
      <c r="C16" s="93" t="inlineStr">
        <is>
          <t>17/12/25</t>
        </is>
      </c>
      <c r="D16" s="26" t="n">
        <v>1761.28</v>
      </c>
      <c r="E16" s="26" t="n">
        <v>166.205267</v>
      </c>
      <c r="F16" s="26" t="n">
        <v>1.76</v>
      </c>
      <c r="G16" s="94" t="n">
        <v>94.37</v>
      </c>
      <c r="H16" s="95" t="n"/>
    </row>
    <row r="17" ht="28.5" customHeight="1" s="78">
      <c r="C17" s="93" t="inlineStr">
        <is>
          <t>18/12/25</t>
        </is>
      </c>
      <c r="D17" s="26" t="n">
        <v>1421.72</v>
      </c>
      <c r="E17" s="26" t="n">
        <v>160.1842132</v>
      </c>
      <c r="F17" s="26" t="n">
        <v>1.42</v>
      </c>
      <c r="G17" s="94" t="n">
        <v>112.67</v>
      </c>
      <c r="H17" s="95" t="n"/>
    </row>
    <row r="18" ht="28.5" customHeight="1" s="78">
      <c r="C18" s="93" t="inlineStr">
        <is>
          <t>19/12/25</t>
        </is>
      </c>
      <c r="D18" s="26" t="n">
        <v>1212.18</v>
      </c>
      <c r="E18" s="26" t="n">
        <v>136.787458</v>
      </c>
      <c r="F18" s="26" t="n">
        <v>1.21</v>
      </c>
      <c r="G18" s="94" t="n">
        <v>112.84</v>
      </c>
      <c r="H18" s="95" t="n"/>
    </row>
    <row r="19" ht="28.5" customHeight="1" s="78">
      <c r="C19" s="93" t="inlineStr">
        <is>
          <t>20/12/25</t>
        </is>
      </c>
      <c r="D19" s="26" t="n">
        <v>723.54</v>
      </c>
      <c r="E19" s="26" t="n">
        <v>82.443056</v>
      </c>
      <c r="F19" s="26" t="n">
        <v>0.72</v>
      </c>
      <c r="G19" s="94" t="n">
        <v>113.94</v>
      </c>
      <c r="H19" s="95" t="n"/>
    </row>
    <row r="20" ht="28.5" customHeight="1" s="78">
      <c r="C20" s="93" t="inlineStr">
        <is>
          <t>21/12/25</t>
        </is>
      </c>
      <c r="D20" s="26" t="n">
        <v>753.76</v>
      </c>
      <c r="E20" s="26" t="n">
        <v>79.5568942</v>
      </c>
      <c r="F20" s="26" t="n">
        <v>0.75</v>
      </c>
      <c r="G20" s="94" t="n">
        <v>105.55</v>
      </c>
      <c r="H20" s="95" t="n"/>
    </row>
    <row r="21" ht="28.5" customHeight="1" s="78">
      <c r="C21" s="93" t="inlineStr">
        <is>
          <t>22/12/25</t>
        </is>
      </c>
      <c r="D21" s="26" t="n">
        <v>403.02</v>
      </c>
      <c r="E21" s="26" t="n">
        <v>47.826777</v>
      </c>
      <c r="F21" s="26" t="n">
        <v>0.4</v>
      </c>
      <c r="G21" s="94" t="n">
        <v>118.67</v>
      </c>
      <c r="H21" s="95" t="n"/>
    </row>
    <row r="22" ht="28.5" customHeight="1" s="78">
      <c r="C22" s="93" t="inlineStr">
        <is>
          <t>23/12/25</t>
        </is>
      </c>
      <c r="D22" s="26" t="n">
        <v>146.16</v>
      </c>
      <c r="E22" s="26" t="n">
        <v>16.9973232</v>
      </c>
      <c r="F22" s="26" t="n">
        <v>0.15</v>
      </c>
      <c r="G22" s="94" t="n">
        <v>116.29</v>
      </c>
      <c r="H22" s="95" t="n"/>
    </row>
    <row r="23" ht="28.5" customHeight="1" s="78">
      <c r="C23" s="93" t="inlineStr">
        <is>
          <t>24/12/25</t>
        </is>
      </c>
      <c r="D23" s="26" t="n">
        <v>194.38</v>
      </c>
      <c r="E23" s="26" t="n">
        <v>27.1301958</v>
      </c>
      <c r="F23" s="26" t="n">
        <v>0.19</v>
      </c>
      <c r="G23" s="94" t="n">
        <v>139.57</v>
      </c>
      <c r="H23" s="95" t="n"/>
    </row>
    <row r="24" ht="28.5" customHeight="1" s="78">
      <c r="C24" s="93" t="inlineStr">
        <is>
          <t>25/12/25</t>
        </is>
      </c>
      <c r="D24" s="26" t="n">
        <v>701.8200000000001</v>
      </c>
      <c r="E24" s="26" t="n">
        <v>55.2160212</v>
      </c>
      <c r="F24" s="26" t="n">
        <v>0.7</v>
      </c>
      <c r="G24" s="94" t="n">
        <v>78.68000000000001</v>
      </c>
      <c r="H24" s="95" t="n"/>
    </row>
    <row r="25" ht="28.5" customHeight="1" s="78">
      <c r="C25" s="93" t="inlineStr">
        <is>
          <t>26/12/25</t>
        </is>
      </c>
      <c r="D25" s="26" t="n">
        <v>556.76</v>
      </c>
      <c r="E25" s="26" t="n">
        <v>47.5766384</v>
      </c>
      <c r="F25" s="26" t="n">
        <v>0.5600000000000001</v>
      </c>
      <c r="G25" s="94" t="n">
        <v>85.45</v>
      </c>
      <c r="H25" s="95" t="n"/>
    </row>
    <row r="26" ht="28.5" customHeight="1" s="78">
      <c r="C26" s="93" t="inlineStr">
        <is>
          <t>27/12/25</t>
        </is>
      </c>
      <c r="D26" s="26" t="n">
        <v>1902.12</v>
      </c>
      <c r="E26" s="26" t="n">
        <v>146.3024978</v>
      </c>
      <c r="F26" s="26" t="n">
        <v>1.9</v>
      </c>
      <c r="G26" s="94" t="n">
        <v>76.92</v>
      </c>
      <c r="H26" s="95" t="n"/>
    </row>
    <row r="27" ht="28.5" customHeight="1" s="78">
      <c r="C27" s="93" t="inlineStr">
        <is>
          <t>28/12/25</t>
        </is>
      </c>
      <c r="D27" s="26" t="n">
        <v>1902.28</v>
      </c>
      <c r="E27" s="26" t="n">
        <v>91.7123984</v>
      </c>
      <c r="F27" s="26" t="n">
        <v>1.9</v>
      </c>
      <c r="G27" s="94" t="n">
        <v>48.21</v>
      </c>
      <c r="H27" s="95" t="n"/>
    </row>
    <row r="28" ht="28.5" customHeight="1" s="78">
      <c r="C28" s="93" t="inlineStr">
        <is>
          <t>29/12/25</t>
        </is>
      </c>
      <c r="D28" s="26" t="n">
        <v>1937.38</v>
      </c>
      <c r="E28" s="26" t="n">
        <v>153.821308</v>
      </c>
      <c r="F28" s="26" t="n">
        <v>1.94</v>
      </c>
      <c r="G28" s="94" t="n">
        <v>79.40000000000001</v>
      </c>
      <c r="H28" s="95" t="n"/>
    </row>
    <row r="29" ht="28.5" customHeight="1" s="78">
      <c r="C29" s="93" t="inlineStr">
        <is>
          <t>30/12/25</t>
        </is>
      </c>
      <c r="D29" s="26" t="n">
        <v>1477.32</v>
      </c>
      <c r="E29" s="26" t="n">
        <v>113.5265566</v>
      </c>
      <c r="F29" s="26" t="n">
        <v>1.48</v>
      </c>
      <c r="G29" s="94" t="n">
        <v>76.84999999999999</v>
      </c>
      <c r="H29" s="95" t="n"/>
    </row>
    <row r="30" ht="28.5" customHeight="1" s="78">
      <c r="C30" s="93" t="inlineStr">
        <is>
          <t>31/12/25</t>
        </is>
      </c>
      <c r="D30" s="26" t="n">
        <v>767.24</v>
      </c>
      <c r="E30" s="26" t="n">
        <v>69.45715679999999</v>
      </c>
      <c r="F30" s="26" t="n">
        <v>0.77</v>
      </c>
      <c r="G30" s="94" t="n">
        <v>90.53</v>
      </c>
      <c r="H30" s="95" t="n"/>
    </row>
    <row r="31" ht="28.5" customHeight="1" s="78">
      <c r="C31" s="93" t="inlineStr">
        <is>
          <t>Σύνολο</t>
        </is>
      </c>
      <c r="D31" s="26" t="n">
        <v>26069.78</v>
      </c>
      <c r="E31" s="26" t="n">
        <v>2205.88</v>
      </c>
      <c r="F31" s="26" t="n">
        <v>26.05</v>
      </c>
      <c r="G31" s="94" t="n">
        <v>84.61</v>
      </c>
      <c r="H31" s="95" t="n"/>
    </row>
    <row r="32" ht="28.5" customHeight="1" s="78">
      <c r="C32" s="93" t="n"/>
      <c r="D32" s="26" t="n"/>
      <c r="E32" s="27" t="n"/>
      <c r="F32" s="28" t="n"/>
      <c r="G32" s="96" t="n"/>
      <c r="H32" s="95" t="n"/>
    </row>
    <row r="33" ht="28.5" customHeight="1" s="78">
      <c r="C33" s="93" t="n"/>
      <c r="D33" s="26" t="n"/>
      <c r="E33" s="27" t="n"/>
      <c r="F33" s="28" t="n"/>
      <c r="G33" s="96" t="n"/>
      <c r="H33" s="95" t="n"/>
    </row>
    <row r="34" ht="28.5" customHeight="1" s="78">
      <c r="C34" s="93" t="n"/>
      <c r="D34" s="26" t="n"/>
      <c r="E34" s="27" t="n"/>
      <c r="F34" s="28" t="n"/>
      <c r="G34" s="96" t="n"/>
      <c r="H34" s="95" t="n"/>
    </row>
    <row r="35" ht="28.5" customHeight="1" s="78">
      <c r="C35" s="93" t="n"/>
      <c r="D35" s="26" t="n"/>
      <c r="E35" s="27" t="n"/>
      <c r="F35" s="28" t="n"/>
      <c r="G35" s="96" t="n"/>
      <c r="H35" s="95" t="n"/>
    </row>
    <row r="36" ht="28.5" customHeight="1" s="78">
      <c r="C36" s="93" t="n"/>
      <c r="D36" s="26" t="n"/>
      <c r="E36" s="27" t="n"/>
      <c r="F36" s="28" t="n"/>
      <c r="G36" s="96" t="n"/>
      <c r="H36" s="95" t="n"/>
    </row>
    <row r="37" ht="28.5" customHeight="1" s="78">
      <c r="C37" s="93" t="n"/>
      <c r="D37" s="26" t="n"/>
      <c r="E37" s="27" t="n"/>
      <c r="F37" s="28" t="n"/>
      <c r="G37" s="96" t="n"/>
      <c r="H37" s="95" t="n"/>
    </row>
    <row r="38" ht="28.5" customHeight="1" s="78">
      <c r="C38" s="93" t="n"/>
      <c r="D38" s="26" t="n"/>
      <c r="E38" s="27" t="n"/>
      <c r="F38" s="28" t="n"/>
      <c r="G38" s="96" t="n"/>
      <c r="H38" s="95" t="n"/>
    </row>
    <row r="39" ht="28.5" customHeight="1" s="78">
      <c r="C39" s="93" t="n"/>
      <c r="D39" s="26" t="n"/>
      <c r="E39" s="27" t="n"/>
      <c r="F39" s="28" t="n"/>
      <c r="G39" s="96" t="n"/>
      <c r="H39" s="95" t="n"/>
    </row>
    <row r="40" ht="28.5" customHeight="1" s="78">
      <c r="C40" s="93" t="n"/>
      <c r="D40" s="26" t="n"/>
      <c r="E40" s="27" t="n"/>
      <c r="F40" s="28" t="n"/>
      <c r="G40" s="96" t="n"/>
      <c r="H40" s="95" t="n"/>
    </row>
    <row r="41" ht="28.5" customHeight="1" s="78" thickBot="1">
      <c r="C41" s="30" t="n"/>
      <c r="D41" s="31" t="n"/>
      <c r="E41" s="31" t="n"/>
      <c r="F41" s="32" t="n"/>
      <c r="G41" s="97" t="n"/>
      <c r="H41" s="95" t="n"/>
    </row>
    <row r="42" ht="28.5" customHeight="1" s="78">
      <c r="C42" s="33" t="n"/>
      <c r="D42" s="34" t="n"/>
      <c r="E42" s="34" t="n"/>
      <c r="F42" s="35" t="n"/>
      <c r="G42" s="98" t="n"/>
      <c r="H42" s="95" t="n"/>
    </row>
    <row r="43" ht="49" customHeight="1" s="78" thickBot="1">
      <c r="B43" s="43" t="n"/>
      <c r="C43" s="43" t="n"/>
      <c r="D43" s="43" t="n"/>
    </row>
    <row r="44" ht="31" customHeight="1" s="78">
      <c r="B44" s="58" t="inlineStr">
        <is>
          <t>Ανάλυση Χρεώσεων και Υπηρεσίων ΦοΣΕ</t>
        </is>
      </c>
      <c r="C44" s="99" t="n"/>
      <c r="D44" s="100" t="n"/>
      <c r="E44" s="19" t="n"/>
      <c r="F44" s="101" t="inlineStr">
        <is>
          <t>Υπολογισμός προς καταβολή</t>
        </is>
      </c>
      <c r="G44" s="99" t="n"/>
      <c r="H44" s="102" t="n"/>
      <c r="I44" s="47" t="n"/>
    </row>
    <row r="45" ht="36" customHeight="1" s="78">
      <c r="B45" s="64" t="inlineStr">
        <is>
          <t>Μοναδιαία Χρέωση ΦοΣΕ</t>
        </is>
      </c>
      <c r="C45" s="85" t="n"/>
      <c r="D45" s="103" t="n">
        <v>1</v>
      </c>
      <c r="E45" s="46" t="n"/>
      <c r="F45" s="64" t="inlineStr">
        <is>
          <t>Παραγωγή Ενέργειας βάσει Μετρήσεων (ΜWh)</t>
        </is>
      </c>
      <c r="G45" s="85" t="n"/>
      <c r="H45" s="104" t="n">
        <v>26.07</v>
      </c>
      <c r="I45" s="47" t="n"/>
    </row>
    <row r="46" ht="71.5" customHeight="1" s="78" thickBot="1">
      <c r="B46" s="66" t="inlineStr">
        <is>
          <t>Σύνολο (€)</t>
        </is>
      </c>
      <c r="C46" s="105" t="n"/>
      <c r="D46" s="106" t="n">
        <v>26.05</v>
      </c>
      <c r="E46" s="43" t="n"/>
      <c r="F46" s="64" t="inlineStr">
        <is>
          <t>Αξία Ενέργειας βάσει Μετρήσεων (€)</t>
        </is>
      </c>
      <c r="G46" s="85" t="n"/>
      <c r="H46" s="104" t="n">
        <v>2205.88</v>
      </c>
      <c r="I46" s="47" t="n"/>
    </row>
    <row r="47" ht="30" customHeight="1" s="78">
      <c r="E47" s="43" t="n"/>
      <c r="F47" s="64" t="inlineStr">
        <is>
          <t>ΦΠΑ (6%)</t>
        </is>
      </c>
      <c r="G47" s="85" t="n"/>
      <c r="H47" s="49">
        <f>H46*6%</f>
        <v/>
      </c>
      <c r="I47" s="47" t="n"/>
    </row>
    <row r="48" ht="29.75" customHeight="1" s="78">
      <c r="E48" s="43" t="n"/>
      <c r="F48" s="64" t="inlineStr">
        <is>
          <t>Χρέωση ΦοΣΕ με ΦΠΑ (24%)</t>
        </is>
      </c>
      <c r="G48" s="85" t="n"/>
      <c r="H48" s="49">
        <f>-(D46*1.24)</f>
        <v/>
      </c>
      <c r="I48" s="47" t="n"/>
    </row>
    <row r="49" ht="30" customHeight="1" s="78" thickBot="1">
      <c r="E49" s="43" t="n"/>
      <c r="F49" s="66" t="inlineStr">
        <is>
          <t xml:space="preserve">Συνολικό Ποσό προς καταβολή </t>
        </is>
      </c>
      <c r="G49" s="105" t="n"/>
      <c r="H49" s="50">
        <f>H46+H47+H48</f>
        <v/>
      </c>
      <c r="I49" s="47" t="n"/>
    </row>
    <row r="50" ht="37" customHeight="1" s="78" thickBot="1">
      <c r="B50" s="43" t="n"/>
      <c r="C50" s="43" t="n"/>
      <c r="D50" s="43" t="n"/>
      <c r="F50" s="43" t="n"/>
      <c r="G50" s="53" t="n"/>
      <c r="H50" s="43" t="n"/>
    </row>
    <row r="51" ht="36" customHeight="1" s="78">
      <c r="B51" s="58" t="inlineStr">
        <is>
          <t>Στοιχεία Τράπεζας</t>
        </is>
      </c>
      <c r="C51" s="99" t="n"/>
      <c r="D51" s="100" t="n"/>
      <c r="E51" s="43" t="n"/>
      <c r="F51" s="101" t="inlineStr">
        <is>
          <t>Υπολογισμός Τιμολόγησης</t>
        </is>
      </c>
      <c r="G51" s="99" t="n"/>
      <c r="H51" s="102" t="n"/>
      <c r="I51" s="47" t="n"/>
    </row>
    <row r="52" ht="25.25" customHeight="1" s="78">
      <c r="B52" s="51" t="inlineStr">
        <is>
          <t xml:space="preserve"> ΙΒΑΝ</t>
        </is>
      </c>
      <c r="C52" s="107" t="inlineStr">
        <is>
          <t>GR5102602390000760201406168</t>
        </is>
      </c>
      <c r="D52" s="108" t="n"/>
      <c r="E52" s="43" t="n"/>
      <c r="F52" s="64" t="inlineStr">
        <is>
          <t>Αξία Ενέργειας βάσει Μετρήσεων</t>
        </is>
      </c>
      <c r="G52" s="85" t="n"/>
      <c r="H52" s="49">
        <f>H46</f>
        <v/>
      </c>
      <c r="I52" s="47" t="n"/>
    </row>
    <row r="53" ht="28.5" customHeight="1" s="78" thickBot="1">
      <c r="B53" s="52" t="inlineStr">
        <is>
          <t xml:space="preserve"> Ημερομηνία</t>
        </is>
      </c>
      <c r="C53" s="109" t="inlineStr">
        <is>
          <t>14/01/26</t>
        </is>
      </c>
      <c r="D53" s="110" t="n"/>
      <c r="E53" s="43" t="n"/>
      <c r="F53" s="64" t="inlineStr">
        <is>
          <t>ΦΠΑ (6%)</t>
        </is>
      </c>
      <c r="G53" s="85" t="n"/>
      <c r="H53" s="49">
        <f>H52*6%</f>
        <v/>
      </c>
      <c r="I53" s="47" t="n"/>
    </row>
    <row r="54" ht="28.5" customHeight="1" s="78" thickBot="1">
      <c r="B54" s="43" t="n"/>
      <c r="C54" s="43" t="n"/>
      <c r="D54" s="43" t="n"/>
      <c r="E54" s="43" t="n"/>
      <c r="F54" s="66" t="inlineStr">
        <is>
          <t xml:space="preserve">ΓΕΝΙΚΟ ΣΥΝΟΛΟ </t>
        </is>
      </c>
      <c r="G54" s="105" t="n"/>
      <c r="H54" s="45">
        <f>H52+H53</f>
        <v/>
      </c>
      <c r="I54" s="47" t="n"/>
    </row>
    <row r="55" ht="28.75" customHeight="1" s="78"/>
    <row r="56" ht="38.25" customHeight="1" s="78">
      <c r="B56" s="111" t="inlineStr">
        <is>
          <t>Σημείωση: Το τελικό ποσό πίστωσης παραγωγού προκύπτει από το άθροισμα των γινομένων της παραγόμενης ενέργειας επί της αντίστοιχης Τιμής Εκκαθάρισης Αγοράς Επόμενης Ημέρας ανά 15', αφαιρώντας την πληρωμή υπηρεσιών ΦοΣΕ και Διαχειριστικών εξόδων. Οι πληρωμές της GREEN VALUE Α.Ε. πραγματοποιουνται εντός 2 εργάσιμων ημερών μετά την παραλαβή του ενημερωτικού σημειώματος.</t>
        </is>
      </c>
    </row>
    <row r="57" ht="39" customHeight="1" s="78"/>
    <row r="58" ht="80" customHeight="1" s="78"/>
    <row r="60" ht="28.75" customHeight="1" s="78"/>
    <row r="62" ht="36" customHeight="1" s="78"/>
    <row r="63" ht="28.5" customHeight="1" s="78"/>
    <row r="64" ht="28.5" customHeight="1" s="78"/>
    <row r="65" ht="28.5" customHeight="1" s="78"/>
  </sheetData>
  <mergeCells count="25">
    <mergeCell ref="I9:M9"/>
    <mergeCell ref="F54:G54"/>
    <mergeCell ref="B46:C46"/>
    <mergeCell ref="B44:D44"/>
    <mergeCell ref="C53:D53"/>
    <mergeCell ref="F45:G45"/>
    <mergeCell ref="G6:H6"/>
    <mergeCell ref="B51:D51"/>
    <mergeCell ref="F47:G47"/>
    <mergeCell ref="D5:F5"/>
    <mergeCell ref="C2:G2"/>
    <mergeCell ref="G5:H5"/>
    <mergeCell ref="F46:G46"/>
    <mergeCell ref="C52:D52"/>
    <mergeCell ref="F44:H44"/>
    <mergeCell ref="C8:G8"/>
    <mergeCell ref="F52:G52"/>
    <mergeCell ref="F48:G48"/>
    <mergeCell ref="G1:H1"/>
    <mergeCell ref="B45:C45"/>
    <mergeCell ref="F49:G49"/>
    <mergeCell ref="B56:H57"/>
    <mergeCell ref="D6:F6"/>
    <mergeCell ref="F53:G53"/>
    <mergeCell ref="F51:H51"/>
  </mergeCells>
  <pageMargins left="0.416667" right="0.416667" top="0.25" bottom="0.25" header="0.25" footer="0.25"/>
  <pageSetup orientation="portrait" scale="59"/>
  <headerFooter>
    <oddHeader/>
    <oddFooter>&amp;C&amp;"Avenir Next Regular,Regular"&amp;12 &amp;K000000&amp;P</oddFooter>
    <evenHeader/>
    <evenFooter/>
    <firstHeader/>
    <firstFooter/>
  </headerFooter>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 tech01</dc:creator>
  <dcterms:created xmlns:dcterms="http://purl.org/dc/terms/" xmlns:xsi="http://www.w3.org/2001/XMLSchema-instance" xsi:type="dcterms:W3CDTF">2025-03-17T17:41:17Z</dcterms:created>
  <dcterms:modified xmlns:dcterms="http://purl.org/dc/terms/" xmlns:xsi="http://www.w3.org/2001/XMLSchema-instance" xsi:type="dcterms:W3CDTF">2026-01-12T14:48:42Z</dcterms:modified>
  <cp:lastModifiedBy>Markella Bournaka</cp:lastModifiedBy>
  <cp:lastPrinted>2025-05-05T11:50:33Z</cp:lastPrinted>
</cp:coreProperties>
</file>