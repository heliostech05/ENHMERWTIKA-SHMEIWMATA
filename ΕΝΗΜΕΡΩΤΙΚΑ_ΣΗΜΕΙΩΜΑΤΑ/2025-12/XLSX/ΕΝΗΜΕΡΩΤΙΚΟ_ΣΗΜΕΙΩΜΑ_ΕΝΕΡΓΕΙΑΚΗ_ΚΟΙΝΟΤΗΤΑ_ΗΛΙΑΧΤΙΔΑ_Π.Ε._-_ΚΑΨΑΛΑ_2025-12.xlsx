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29400" windowHeight="17220" tabRatio="600" firstSheet="0" activeTab="0" autoFilterDateGrouping="1"/>
  </bookViews>
  <sheets>
    <sheet xmlns:r="http://schemas.openxmlformats.org/officeDocument/2006/relationships" name="Energy Production" sheetId="1" state="visible" r:id="rId1"/>
  </sheets>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name val="Century Gothic"/>
      <b val="1"/>
      <sz val="20"/>
      <u val="single"/>
    </font>
    <font>
      <name val="Century Gothic"/>
      <sz val="14"/>
    </font>
    <font>
      <name val="Century Gothic"/>
      <sz val="13"/>
    </font>
    <font>
      <name val="Century Gothic"/>
      <b val="1"/>
      <sz val="14"/>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medium">
        <color theme="6" tint="-0.499984740745262"/>
      </bottom>
      <diagonal/>
    </border>
    <border>
      <left style="medium">
        <color theme="6" tint="-0.499984740745262"/>
      </left>
      <right style="medium">
        <color theme="6" tint="-0.499984740745262"/>
      </right>
      <top style="medium">
        <color theme="6" tint="-0.499984740745262"/>
      </top>
      <bottom style="thin">
        <color indexed="64"/>
      </bottom>
      <diagonal/>
    </border>
    <border>
      <left/>
      <right/>
      <top style="medium">
        <color theme="6" tint="-0.499984740745262"/>
      </top>
      <bottom/>
      <diagonal/>
    </border>
    <border>
      <left/>
      <right style="medium">
        <color theme="6" tint="-0.499984740745262"/>
      </right>
      <top style="medium">
        <color theme="6" tint="-0.499984740745262"/>
      </top>
      <bottom/>
      <diagonal/>
    </border>
    <border>
      <left/>
      <right style="medium">
        <color theme="6" tint="-0.499984740745262"/>
      </right>
      <top style="thin">
        <color indexed="64"/>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s>
  <cellStyleXfs count="1">
    <xf numFmtId="0" fontId="0" fillId="0" borderId="1" applyAlignment="1">
      <alignment vertical="top" wrapText="1"/>
    </xf>
  </cellStyleXfs>
  <cellXfs count="111">
    <xf numFmtId="0" fontId="0" fillId="0" borderId="0" applyAlignment="1" pivotButton="0" quotePrefix="0" xfId="0">
      <alignment vertical="top" wrapText="1"/>
    </xf>
    <xf numFmtId="0" fontId="1" fillId="2"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9" fontId="11" fillId="3" borderId="9" applyAlignment="1" pivotButton="0" quotePrefix="0" xfId="0">
      <alignment horizontal="center"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0"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0" fillId="0" borderId="0" pivotButton="0" quotePrefix="0" xfId="0"/>
    <xf numFmtId="0" fontId="20" fillId="3" borderId="1" applyAlignment="1" pivotButton="0" quotePrefix="0" xfId="0">
      <alignment vertical="top" wrapText="1"/>
    </xf>
    <xf numFmtId="0" fontId="19" fillId="3" borderId="1" applyAlignment="1" pivotButton="0" quotePrefix="0" xfId="0">
      <alignment horizontal="center" vertical="center"/>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6" fillId="3" borderId="2" applyAlignment="1" pivotButton="0" quotePrefix="0" xfId="0">
      <alignment horizontal="center" vertical="center" wrapText="1" readingOrder="1"/>
    </xf>
    <xf numFmtId="0" fontId="0" fillId="0" borderId="31" pivotButton="0" quotePrefix="0" xfId="0"/>
    <xf numFmtId="0" fontId="0" fillId="0" borderId="30"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xf>
    <xf numFmtId="168" fontId="11" fillId="3" borderId="1" applyAlignment="1" pivotButton="0" quotePrefix="0" xfId="0">
      <alignment vertical="center" wrapText="1"/>
    </xf>
    <xf numFmtId="4" fontId="11" fillId="3" borderId="11" applyAlignment="1" pivotButton="0" quotePrefix="0" xfId="0">
      <alignment horizontal="center" vertical="center"/>
    </xf>
    <xf numFmtId="168" fontId="11" fillId="3" borderId="1" applyAlignment="1" pivotButton="0" quotePrefix="0" xfId="0">
      <alignment horizontal="center" vertical="center" wrapText="1"/>
    </xf>
    <xf numFmtId="0" fontId="0" fillId="0" borderId="23" pivotButton="0" quotePrefix="0" xfId="0"/>
    <xf numFmtId="0" fontId="0" fillId="0" borderId="38"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4" fontId="11" fillId="3" borderId="17" applyAlignment="1" pivotButton="0" quotePrefix="0" xfId="0">
      <alignment vertical="center" wrapText="1"/>
    </xf>
    <xf numFmtId="0" fontId="0" fillId="0" borderId="32" pivotButton="0" quotePrefix="0" xfId="0"/>
    <xf numFmtId="4" fontId="11" fillId="3" borderId="20" applyAlignment="1" pivotButton="0" quotePrefix="0" xfId="0">
      <alignment vertical="center" wrapText="1"/>
    </xf>
    <xf numFmtId="49" fontId="22"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oneCellAnchor>
    <from>
      <col>1</col>
      <colOff>0</colOff>
      <row>58</row>
      <rowOff>0</rowOff>
    </from>
    <ext cx="10477500" cy="3810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57"/>
  <sheetViews>
    <sheetView showGridLines="0" tabSelected="1" topLeftCell="A34" zoomScale="70" zoomScaleNormal="70" workbookViewId="0">
      <selection activeCell="A39" sqref="A39:XFD39"/>
    </sheetView>
  </sheetViews>
  <sheetFormatPr baseColWidth="10" defaultColWidth="41.6640625" defaultRowHeight="21.5" customHeight="1"/>
  <cols>
    <col width="0.83203125" customWidth="1" style="5" min="1" max="1"/>
    <col width="19.5" customWidth="1" style="5" min="2" max="2"/>
    <col width="22.5" customWidth="1" style="5" min="3" max="3"/>
    <col width="19.83203125" customWidth="1" style="5" min="4" max="4"/>
    <col width="14.83203125" customWidth="1" style="5" min="5" max="5"/>
    <col width="21.6640625" customWidth="1" style="5" min="6" max="6"/>
    <col width="33.5" customWidth="1" style="40" min="7" max="7"/>
    <col width="20.33203125" customWidth="1" style="5" min="8" max="8"/>
    <col width="19.6640625" customWidth="1" style="4" min="9" max="9"/>
    <col width="32.6640625" customWidth="1" style="4" min="10" max="10"/>
    <col width="29" customWidth="1" style="4" min="11" max="11"/>
    <col width="27.33203125" customWidth="1" style="4" min="12" max="12"/>
    <col width="36.83203125" customWidth="1" style="4" min="13" max="13"/>
    <col width="41.5" customWidth="1" style="5" min="14" max="14"/>
    <col width="21.5" customWidth="1" style="5" min="15" max="15"/>
    <col width="44.83203125" customWidth="1" style="5" min="16" max="16"/>
    <col width="31" customWidth="1" style="5" min="17" max="17"/>
    <col width="20.1640625" customWidth="1" style="5" min="18" max="18"/>
    <col width="55.6640625" customWidth="1" style="5" min="19" max="19"/>
    <col width="44.83203125" customWidth="1" style="5" min="20" max="20"/>
    <col width="31" customWidth="1" style="5" min="21" max="21"/>
    <col width="44.83203125" customWidth="1" style="5" min="22" max="22"/>
    <col width="31" customWidth="1" style="5" min="23" max="23"/>
    <col width="41.6640625" customWidth="1" style="5" min="24" max="24"/>
    <col width="41.6640625" customWidth="1" style="5" min="25" max="16384"/>
  </cols>
  <sheetData>
    <row r="1" ht="160" customHeight="1" s="78">
      <c r="B1" s="4" t="n"/>
      <c r="C1" s="4" t="n"/>
      <c r="D1" s="4" t="n"/>
      <c r="E1" s="4" t="n"/>
      <c r="F1" s="4" t="n"/>
      <c r="G1" s="79" t="inlineStr">
        <is>
          <t>Φορέας Σωρευτικής Εκπροσώπησης ΑΠΕ (Φο.Σ.Ε.)
Διεύθυνση: Φιλοπάππου 19, Αθήνα 11741, Ελλάδα 
ΑΦΜ: 801961185, ΓΕΜΗ: 167104201000, ΔΟΥ:ΦΑΕ Αθηνών 
e-mail: info@greenvalue.gr</t>
        </is>
      </c>
    </row>
    <row r="2" ht="80" customHeight="1" s="78">
      <c r="B2" s="4" t="n"/>
      <c r="C2" s="80" t="inlineStr">
        <is>
          <t>Ενημερωτικό Σημείωμα Δεκεμβρίου 2025</t>
        </is>
      </c>
      <c r="H2" s="4" t="n"/>
    </row>
    <row r="3" ht="40" customFormat="1" customHeight="1" s="42">
      <c r="B3" s="71" t="inlineStr">
        <is>
          <t>Α.Μ. ΑΠΕ</t>
        </is>
      </c>
      <c r="C3" s="71" t="inlineStr">
        <is>
          <t>Εταιρεία</t>
        </is>
      </c>
      <c r="D3" s="71" t="inlineStr">
        <is>
          <t>ΑΦΜ</t>
        </is>
      </c>
      <c r="E3" s="71" t="inlineStr">
        <is>
          <t>ΔΟΥ</t>
        </is>
      </c>
      <c r="F3" s="71" t="inlineStr">
        <is>
          <t>Διεύθυνση</t>
        </is>
      </c>
      <c r="G3" s="71" t="inlineStr">
        <is>
          <t>Email</t>
        </is>
      </c>
      <c r="H3" s="71" t="inlineStr">
        <is>
          <t>Τεχνολογία</t>
        </is>
      </c>
      <c r="I3" s="41" t="n"/>
      <c r="J3" s="41" t="n"/>
      <c r="K3" s="41" t="n"/>
      <c r="L3" s="41" t="n"/>
      <c r="M3" s="41" t="n"/>
    </row>
    <row r="4" ht="100" customFormat="1" customHeight="1" s="11">
      <c r="B4" s="7" t="inlineStr">
        <is>
          <t>644PH81576</t>
        </is>
      </c>
      <c r="C4" s="81" t="inlineStr">
        <is>
          <t xml:space="preserve">ΕΝΕΡΓΕΙΑΚΗ ΚΟΙΝΟΤΗΤΑ ΗΛΙΑΧΤΙΔΑ Π.Ε. - ΚΑΨΑΛΑ </t>
        </is>
      </c>
      <c r="D4" s="9" t="n">
        <v>996874804</v>
      </c>
      <c r="E4" s="8" t="inlineStr">
        <is>
          <t xml:space="preserve">ΛΑΜΙΑΣ </t>
        </is>
      </c>
      <c r="F4" s="8" t="inlineStr">
        <is>
          <t>6η ΠΑΡΟΔΟΣ ΣΑΝΑΤΟΡΙΟΥ 9, ΛΑΜΙΑ, 35131</t>
        </is>
      </c>
      <c r="G4" s="8" t="inlineStr">
        <is>
          <t>iliachtidaenergy@gmail.com , dimitrisiak@gmail.com</t>
        </is>
      </c>
      <c r="H4" s="8" t="inlineStr">
        <is>
          <t>Φ/Β</t>
        </is>
      </c>
      <c r="I4" s="10" t="n"/>
      <c r="J4" s="10" t="n"/>
      <c r="K4" s="10" t="n"/>
      <c r="L4" s="10" t="n"/>
      <c r="M4" s="10" t="n"/>
    </row>
    <row r="5" ht="50" customFormat="1" customHeight="1" s="2">
      <c r="B5" s="71" t="inlineStr">
        <is>
          <t>Ημερομηνία</t>
        </is>
      </c>
      <c r="C5" s="71" t="inlineStr">
        <is>
          <t>Έκδοση</t>
        </is>
      </c>
      <c r="D5" s="71" t="inlineStr">
        <is>
          <t xml:space="preserve">Περίοδος Εκκαθάρισης </t>
        </is>
      </c>
      <c r="G5" s="71" t="inlineStr">
        <is>
          <t>ΣΥΝΟΛΟ ΜΕ ΦΠΑ</t>
        </is>
      </c>
      <c r="I5" s="1" t="n"/>
      <c r="J5" s="1" t="n"/>
      <c r="K5" s="1" t="n"/>
      <c r="L5" s="1" t="n"/>
      <c r="M5" s="1" t="n"/>
    </row>
    <row r="6" ht="60.75" customFormat="1" customHeight="1" s="11">
      <c r="B6" s="82" t="inlineStr">
        <is>
          <t>12/01/26</t>
        </is>
      </c>
      <c r="C6" s="8" t="inlineStr">
        <is>
          <t>Αρχική</t>
        </is>
      </c>
      <c r="D6" s="83" t="inlineStr">
        <is>
          <t>01/12/25-31/12/25</t>
        </is>
      </c>
      <c r="E6" s="84" t="n"/>
      <c r="F6" s="85" t="n"/>
      <c r="G6" s="86">
        <f>H54</f>
        <v/>
      </c>
      <c r="H6" s="85" t="n"/>
      <c r="I6" s="10" t="n"/>
      <c r="J6" s="10" t="n"/>
      <c r="K6" s="10" t="n"/>
      <c r="L6" s="10" t="n"/>
      <c r="M6" s="10" t="n"/>
    </row>
    <row r="7" ht="14" customFormat="1" customHeight="1" s="11">
      <c r="B7" s="87" t="n"/>
      <c r="C7" s="14" t="n"/>
      <c r="D7" s="88" t="n"/>
      <c r="E7" s="88" t="n"/>
      <c r="F7" s="88" t="n"/>
      <c r="G7" s="89" t="n"/>
      <c r="H7" s="90" t="n"/>
      <c r="I7" s="10" t="n"/>
      <c r="J7" s="10" t="n"/>
      <c r="K7" s="10" t="n"/>
      <c r="L7" s="10" t="n"/>
      <c r="M7" s="10" t="n"/>
    </row>
    <row r="8" ht="43" customHeight="1" s="78" thickBot="1">
      <c r="B8" s="18" t="n"/>
      <c r="C8" s="70" t="inlineStr">
        <is>
          <t>Ανάλυση Μηνιαίας Εκκαθάρισης Παραγωγής Ενέργειας Σταθμού</t>
        </is>
      </c>
      <c r="D8" s="91" t="n"/>
      <c r="E8" s="91" t="n"/>
      <c r="F8" s="91" t="n"/>
      <c r="G8" s="91" t="n"/>
      <c r="H8" s="19" t="n"/>
    </row>
    <row r="9" ht="53.5" customFormat="1" customHeight="1" s="20">
      <c r="C9" s="21" t="inlineStr">
        <is>
          <t>Περίοδος Εκκαθάρισης</t>
        </is>
      </c>
      <c r="D9" s="22" t="inlineStr">
        <is>
          <t>Παραγωγή Ενέργειας βάσει μετρήσεων (kWh)</t>
        </is>
      </c>
      <c r="E9" s="22" t="inlineStr">
        <is>
          <t>Αξία Ενέργειας βάσει μετρήσεων (€)</t>
        </is>
      </c>
      <c r="F9" s="22" t="inlineStr">
        <is>
          <t>Προμήθεια GREEN VALUE (€)</t>
        </is>
      </c>
      <c r="G9" s="23" t="inlineStr">
        <is>
          <t>Μεσοσταθμική Τιμή Αγοράς  κατά τις ώρες παραγωγής του σταθμού</t>
        </is>
      </c>
      <c r="H9" s="24" t="n"/>
      <c r="I9" s="92" t="n"/>
    </row>
    <row r="10" ht="31.75" customHeight="1" s="78">
      <c r="C10" s="93" t="inlineStr">
        <is>
          <t>01/12/25</t>
        </is>
      </c>
      <c r="D10" s="26" t="n">
        <v>3708.87</v>
      </c>
      <c r="E10" s="26" t="n">
        <v>372.4772949</v>
      </c>
      <c r="F10" s="26" t="n">
        <v>3.71</v>
      </c>
      <c r="G10" s="94" t="n">
        <v>100.43</v>
      </c>
      <c r="H10" s="95" t="n"/>
    </row>
    <row r="11" ht="30" customHeight="1" s="78">
      <c r="C11" s="93" t="inlineStr">
        <is>
          <t>02/12/25</t>
        </is>
      </c>
      <c r="D11" s="26" t="n">
        <v>3353.22</v>
      </c>
      <c r="E11" s="26" t="n">
        <v>345.614529</v>
      </c>
      <c r="F11" s="26" t="n">
        <v>3.35</v>
      </c>
      <c r="G11" s="94" t="n">
        <v>103.07</v>
      </c>
      <c r="H11" s="95" t="n"/>
    </row>
    <row r="12" ht="28.5" customHeight="1" s="78">
      <c r="C12" s="93" t="inlineStr">
        <is>
          <t>03/12/25</t>
        </is>
      </c>
      <c r="D12" s="26" t="n">
        <v>758.61</v>
      </c>
      <c r="E12" s="26" t="n">
        <v>114.2242647</v>
      </c>
      <c r="F12" s="26" t="n">
        <v>0.76</v>
      </c>
      <c r="G12" s="94" t="n">
        <v>150.57</v>
      </c>
      <c r="H12" s="95" t="n"/>
    </row>
    <row r="13" ht="28.5" customHeight="1" s="78">
      <c r="C13" s="93" t="inlineStr">
        <is>
          <t>04/12/25</t>
        </is>
      </c>
      <c r="D13" s="26" t="n">
        <v>472.5</v>
      </c>
      <c r="E13" s="26" t="n">
        <v>52.4344434</v>
      </c>
      <c r="F13" s="26" t="n">
        <v>0.47</v>
      </c>
      <c r="G13" s="94" t="n">
        <v>110.97</v>
      </c>
      <c r="H13" s="95" t="n"/>
    </row>
    <row r="14" ht="28.5" customHeight="1" s="78">
      <c r="C14" s="93" t="inlineStr">
        <is>
          <t>05/12/25</t>
        </is>
      </c>
      <c r="D14" s="26" t="n">
        <v>344.85</v>
      </c>
      <c r="E14" s="26" t="n">
        <v>51.22378920000001</v>
      </c>
      <c r="F14" s="26" t="n">
        <v>0.34</v>
      </c>
      <c r="G14" s="94" t="n">
        <v>148.54</v>
      </c>
      <c r="H14" s="95" t="n"/>
    </row>
    <row r="15" ht="28.5" customHeight="1" s="78">
      <c r="C15" s="93" t="inlineStr">
        <is>
          <t>06/12/25</t>
        </is>
      </c>
      <c r="D15" s="26" t="n">
        <v>1814.46</v>
      </c>
      <c r="E15" s="26" t="n">
        <v>190.1563563</v>
      </c>
      <c r="F15" s="26" t="n">
        <v>1.81</v>
      </c>
      <c r="G15" s="94" t="n">
        <v>104.8</v>
      </c>
      <c r="H15" s="95" t="n"/>
    </row>
    <row r="16" ht="28.5" customHeight="1" s="78">
      <c r="C16" s="93" t="inlineStr">
        <is>
          <t>07/12/25</t>
        </is>
      </c>
      <c r="D16" s="26" t="n">
        <v>768.33</v>
      </c>
      <c r="E16" s="26" t="n">
        <v>67.9930389</v>
      </c>
      <c r="F16" s="26" t="n">
        <v>0.77</v>
      </c>
      <c r="G16" s="94" t="n">
        <v>88.48999999999999</v>
      </c>
      <c r="H16" s="95" t="n"/>
    </row>
    <row r="17" ht="28.5" customHeight="1" s="78">
      <c r="C17" s="93" t="inlineStr">
        <is>
          <t>08/12/25</t>
        </is>
      </c>
      <c r="D17" s="26" t="n">
        <v>984.75</v>
      </c>
      <c r="E17" s="26" t="n">
        <v>92.1642288</v>
      </c>
      <c r="F17" s="26" t="n">
        <v>0.98</v>
      </c>
      <c r="G17" s="94" t="n">
        <v>93.59</v>
      </c>
      <c r="H17" s="95" t="n"/>
    </row>
    <row r="18" ht="28.5" customHeight="1" s="78">
      <c r="C18" s="93" t="inlineStr">
        <is>
          <t>09/12/25</t>
        </is>
      </c>
      <c r="D18" s="26" t="n">
        <v>2780.76</v>
      </c>
      <c r="E18" s="26" t="n">
        <v>88.88603759999999</v>
      </c>
      <c r="F18" s="26" t="n">
        <v>2.78</v>
      </c>
      <c r="G18" s="94" t="n">
        <v>31.96</v>
      </c>
      <c r="H18" s="95" t="n"/>
    </row>
    <row r="19" ht="28.5" customHeight="1" s="78">
      <c r="C19" s="93" t="inlineStr">
        <is>
          <t>10/12/25</t>
        </is>
      </c>
      <c r="D19" s="26" t="n">
        <v>2959.8</v>
      </c>
      <c r="E19" s="26" t="n">
        <v>259.2745014</v>
      </c>
      <c r="F19" s="26" t="n">
        <v>2.96</v>
      </c>
      <c r="G19" s="94" t="n">
        <v>87.59999999999999</v>
      </c>
      <c r="H19" s="95" t="n"/>
    </row>
    <row r="20" ht="28.5" customHeight="1" s="78">
      <c r="C20" s="93" t="inlineStr">
        <is>
          <t>11/12/25</t>
        </is>
      </c>
      <c r="D20" s="26" t="n">
        <v>3397.68</v>
      </c>
      <c r="E20" s="26" t="n">
        <v>207.9564858</v>
      </c>
      <c r="F20" s="26" t="n">
        <v>3.4</v>
      </c>
      <c r="G20" s="94" t="n">
        <v>61.21</v>
      </c>
      <c r="H20" s="95" t="n"/>
    </row>
    <row r="21" ht="28.5" customHeight="1" s="78">
      <c r="C21" s="93" t="inlineStr">
        <is>
          <t>12/12/25</t>
        </is>
      </c>
      <c r="D21" s="26" t="n">
        <v>3133.2</v>
      </c>
      <c r="E21" s="26" t="n">
        <v>298.0041183</v>
      </c>
      <c r="F21" s="26" t="n">
        <v>3.13</v>
      </c>
      <c r="G21" s="94" t="n">
        <v>95.11</v>
      </c>
      <c r="H21" s="95" t="n"/>
    </row>
    <row r="22" ht="28.5" customHeight="1" s="78">
      <c r="C22" s="93" t="inlineStr">
        <is>
          <t>13/12/25</t>
        </is>
      </c>
      <c r="D22" s="26" t="n">
        <v>519.42</v>
      </c>
      <c r="E22" s="26" t="n">
        <v>46.3698252</v>
      </c>
      <c r="F22" s="26" t="n">
        <v>0.52</v>
      </c>
      <c r="G22" s="94" t="n">
        <v>89.27</v>
      </c>
      <c r="H22" s="95" t="n"/>
    </row>
    <row r="23" ht="28.5" customHeight="1" s="78">
      <c r="C23" s="93" t="inlineStr">
        <is>
          <t>14/12/25</t>
        </is>
      </c>
      <c r="D23" s="26" t="n">
        <v>3202.98</v>
      </c>
      <c r="E23" s="26" t="n">
        <v>265.1695299</v>
      </c>
      <c r="F23" s="26" t="n">
        <v>3.2</v>
      </c>
      <c r="G23" s="94" t="n">
        <v>82.79000000000001</v>
      </c>
      <c r="H23" s="95" t="n"/>
    </row>
    <row r="24" ht="28.5" customHeight="1" s="78">
      <c r="C24" s="93" t="inlineStr">
        <is>
          <t>15/12/25</t>
        </is>
      </c>
      <c r="D24" s="26" t="n">
        <v>3331.08</v>
      </c>
      <c r="E24" s="26" t="n">
        <v>311.9718231</v>
      </c>
      <c r="F24" s="26" t="n">
        <v>3.33</v>
      </c>
      <c r="G24" s="94" t="n">
        <v>93.65000000000001</v>
      </c>
      <c r="H24" s="95" t="n"/>
    </row>
    <row r="25" ht="28.5" customHeight="1" s="78">
      <c r="C25" s="93" t="inlineStr">
        <is>
          <t>16/12/25</t>
        </is>
      </c>
      <c r="D25" s="26" t="n">
        <v>2419.8</v>
      </c>
      <c r="E25" s="26" t="n">
        <v>246.6273618</v>
      </c>
      <c r="F25" s="26" t="n">
        <v>2.42</v>
      </c>
      <c r="G25" s="94" t="n">
        <v>101.92</v>
      </c>
      <c r="H25" s="95" t="n"/>
    </row>
    <row r="26" ht="28.5" customHeight="1" s="78">
      <c r="C26" s="93" t="inlineStr">
        <is>
          <t>17/12/25</t>
        </is>
      </c>
      <c r="D26" s="26" t="n">
        <v>3013.08</v>
      </c>
      <c r="E26" s="26" t="n">
        <v>301.2667395</v>
      </c>
      <c r="F26" s="26" t="n">
        <v>3.01</v>
      </c>
      <c r="G26" s="94" t="n">
        <v>99.98999999999999</v>
      </c>
      <c r="H26" s="95" t="n"/>
    </row>
    <row r="27" ht="28.5" customHeight="1" s="78">
      <c r="C27" s="93" t="inlineStr">
        <is>
          <t>18/12/25</t>
        </is>
      </c>
      <c r="D27" s="26" t="n">
        <v>3251.13</v>
      </c>
      <c r="E27" s="26" t="n">
        <v>387.3247347</v>
      </c>
      <c r="F27" s="26" t="n">
        <v>3.25</v>
      </c>
      <c r="G27" s="94" t="n">
        <v>119.14</v>
      </c>
      <c r="H27" s="95" t="n"/>
    </row>
    <row r="28" ht="28.5" customHeight="1" s="78">
      <c r="C28" s="93" t="inlineStr">
        <is>
          <t>19/12/25</t>
        </is>
      </c>
      <c r="D28" s="26" t="n">
        <v>3105.45</v>
      </c>
      <c r="E28" s="26" t="n">
        <v>370.3999644</v>
      </c>
      <c r="F28" s="26" t="n">
        <v>3.11</v>
      </c>
      <c r="G28" s="94" t="n">
        <v>119.27</v>
      </c>
      <c r="H28" s="95" t="n"/>
    </row>
    <row r="29" ht="28.5" customHeight="1" s="78">
      <c r="C29" s="93" t="inlineStr">
        <is>
          <t>20/12/25</t>
        </is>
      </c>
      <c r="D29" s="26" t="n">
        <v>886.05</v>
      </c>
      <c r="E29" s="26" t="n">
        <v>99.8453928</v>
      </c>
      <c r="F29" s="26" t="n">
        <v>0.89</v>
      </c>
      <c r="G29" s="94" t="n">
        <v>112.69</v>
      </c>
      <c r="H29" s="95" t="n"/>
    </row>
    <row r="30" ht="28.5" customHeight="1" s="78">
      <c r="C30" s="93" t="inlineStr">
        <is>
          <t>21/12/25</t>
        </is>
      </c>
      <c r="D30" s="26" t="n">
        <v>366.27</v>
      </c>
      <c r="E30" s="26" t="n">
        <v>38.7814488</v>
      </c>
      <c r="F30" s="26" t="n">
        <v>0.37</v>
      </c>
      <c r="G30" s="94" t="n">
        <v>105.88</v>
      </c>
      <c r="H30" s="95" t="n"/>
    </row>
    <row r="31" ht="28.5" customHeight="1" s="78">
      <c r="C31" s="93" t="inlineStr">
        <is>
          <t>22/12/25</t>
        </is>
      </c>
      <c r="D31" s="26" t="n">
        <v>351.69</v>
      </c>
      <c r="E31" s="26" t="n">
        <v>42.3302049</v>
      </c>
      <c r="F31" s="26" t="n">
        <v>0.35</v>
      </c>
      <c r="G31" s="94" t="n">
        <v>120.36</v>
      </c>
      <c r="H31" s="95" t="n"/>
    </row>
    <row r="32" ht="28.5" customHeight="1" s="78">
      <c r="C32" s="93" t="inlineStr">
        <is>
          <t>23/12/25</t>
        </is>
      </c>
      <c r="D32" s="26" t="n">
        <v>1240.59</v>
      </c>
      <c r="E32" s="26" t="n">
        <v>147.8355738</v>
      </c>
      <c r="F32" s="26" t="n">
        <v>1.24</v>
      </c>
      <c r="G32" s="94" t="n">
        <v>119.17</v>
      </c>
      <c r="H32" s="95" t="n"/>
    </row>
    <row r="33" ht="28.5" customHeight="1" s="78">
      <c r="C33" s="93" t="inlineStr">
        <is>
          <t>24/12/25</t>
        </is>
      </c>
      <c r="D33" s="26" t="n">
        <v>590.34</v>
      </c>
      <c r="E33" s="26" t="n">
        <v>81.71272259999999</v>
      </c>
      <c r="F33" s="26" t="n">
        <v>0.59</v>
      </c>
      <c r="G33" s="94" t="n">
        <v>138.42</v>
      </c>
      <c r="H33" s="95" t="n"/>
    </row>
    <row r="34" ht="28.5" customHeight="1" s="78">
      <c r="C34" s="93" t="inlineStr">
        <is>
          <t>25/12/25</t>
        </is>
      </c>
      <c r="D34" s="26" t="n">
        <v>3153.24</v>
      </c>
      <c r="E34" s="26" t="n">
        <v>255.6193314</v>
      </c>
      <c r="F34" s="26" t="n">
        <v>3.15</v>
      </c>
      <c r="G34" s="94" t="n">
        <v>81.06999999999999</v>
      </c>
      <c r="H34" s="95" t="n"/>
    </row>
    <row r="35" ht="28.5" customHeight="1" s="78">
      <c r="C35" s="93" t="inlineStr">
        <is>
          <t>26/12/25</t>
        </is>
      </c>
      <c r="D35" s="26" t="n">
        <v>430.68</v>
      </c>
      <c r="E35" s="26" t="n">
        <v>38.1534762</v>
      </c>
      <c r="F35" s="26" t="n">
        <v>0.43</v>
      </c>
      <c r="G35" s="94" t="n">
        <v>88.59</v>
      </c>
      <c r="H35" s="95" t="n"/>
    </row>
    <row r="36" ht="28.5" customHeight="1" s="78">
      <c r="C36" s="93" t="inlineStr">
        <is>
          <t>27/12/25</t>
        </is>
      </c>
      <c r="D36" s="26" t="n">
        <v>3188.52</v>
      </c>
      <c r="E36" s="26" t="n">
        <v>257.0882364</v>
      </c>
      <c r="F36" s="26" t="n">
        <v>3.19</v>
      </c>
      <c r="G36" s="94" t="n">
        <v>80.63</v>
      </c>
      <c r="H36" s="95" t="n"/>
    </row>
    <row r="37" ht="28.5" customHeight="1" s="78">
      <c r="C37" s="93" t="inlineStr">
        <is>
          <t>28/12/25</t>
        </is>
      </c>
      <c r="D37" s="26" t="n">
        <v>3463.53</v>
      </c>
      <c r="E37" s="26" t="n">
        <v>204.3544296</v>
      </c>
      <c r="F37" s="26" t="n">
        <v>3.46</v>
      </c>
      <c r="G37" s="94" t="n">
        <v>59</v>
      </c>
      <c r="H37" s="95" t="n"/>
    </row>
    <row r="38" ht="28.5" customHeight="1" s="78">
      <c r="C38" s="93" t="inlineStr">
        <is>
          <t>29/12/25</t>
        </is>
      </c>
      <c r="D38" s="26" t="n">
        <v>3468.03</v>
      </c>
      <c r="E38" s="26" t="n">
        <v>293.9074107</v>
      </c>
      <c r="F38" s="26" t="n">
        <v>3.47</v>
      </c>
      <c r="G38" s="94" t="n">
        <v>84.75</v>
      </c>
      <c r="H38" s="95" t="n"/>
    </row>
    <row r="39" ht="28.5" customHeight="1" s="78">
      <c r="C39" s="93" t="inlineStr">
        <is>
          <t>30/12/25</t>
        </is>
      </c>
      <c r="D39" s="26" t="n">
        <v>3113.7</v>
      </c>
      <c r="E39" s="26" t="n">
        <v>239.4472719</v>
      </c>
      <c r="F39" s="26" t="n">
        <v>3.11</v>
      </c>
      <c r="G39" s="94" t="n">
        <v>76.90000000000001</v>
      </c>
      <c r="H39" s="95" t="n"/>
    </row>
    <row r="40" ht="28.5" customHeight="1" s="78">
      <c r="C40" s="93" t="inlineStr">
        <is>
          <t>31/12/25</t>
        </is>
      </c>
      <c r="D40" s="26" t="n">
        <v>272.1</v>
      </c>
      <c r="E40" s="26" t="n">
        <v>24.1845774</v>
      </c>
      <c r="F40" s="26" t="n">
        <v>0.27</v>
      </c>
      <c r="G40" s="94" t="n">
        <v>88.88</v>
      </c>
      <c r="H40" s="95" t="n"/>
    </row>
    <row r="41" ht="28.5" customHeight="1" s="78" thickBot="1">
      <c r="C41" s="30" t="inlineStr">
        <is>
          <t>Σύνολο</t>
        </is>
      </c>
      <c r="D41" s="31" t="n">
        <v>63844.71</v>
      </c>
      <c r="E41" s="31" t="n">
        <v>5792.8</v>
      </c>
      <c r="F41" s="31" t="n">
        <v>63.82</v>
      </c>
      <c r="G41" s="96" t="n">
        <v>90.73</v>
      </c>
      <c r="H41" s="95" t="n"/>
    </row>
    <row r="42" ht="28.5" customHeight="1" s="78">
      <c r="C42" s="33" t="n"/>
      <c r="D42" s="34" t="n"/>
      <c r="E42" s="34" t="n"/>
      <c r="F42" s="35" t="n"/>
      <c r="G42" s="97" t="n"/>
      <c r="H42" s="95" t="n"/>
    </row>
    <row r="43" ht="49" customHeight="1" s="78" thickBot="1">
      <c r="B43" s="43" t="n"/>
      <c r="C43" s="43" t="n"/>
      <c r="D43" s="43" t="n"/>
    </row>
    <row r="44" ht="31" customHeight="1" s="78">
      <c r="B44" s="58" t="inlineStr">
        <is>
          <t>Ανάλυση Χρεώσεων και Υπηρεσίων ΦοΣΕ</t>
        </is>
      </c>
      <c r="C44" s="98" t="n"/>
      <c r="D44" s="99" t="n"/>
      <c r="E44" s="19" t="n"/>
      <c r="F44" s="100" t="inlineStr">
        <is>
          <t>Υπολογισμός προς καταβολή</t>
        </is>
      </c>
      <c r="G44" s="98" t="n"/>
      <c r="H44" s="101" t="n"/>
      <c r="I44" s="47" t="n"/>
    </row>
    <row r="45" ht="36" customHeight="1" s="78">
      <c r="B45" s="64" t="inlineStr">
        <is>
          <t>Μοναδιαία Χρέωση ΦοΣΕ</t>
        </is>
      </c>
      <c r="C45" s="85" t="n"/>
      <c r="D45" s="102" t="n">
        <v>1</v>
      </c>
      <c r="E45" s="46" t="n"/>
      <c r="F45" s="64" t="inlineStr">
        <is>
          <t>Παραγωγή Ενέργειας βάσει Μετρήσεων (ΜWh)</t>
        </is>
      </c>
      <c r="G45" s="85" t="n"/>
      <c r="H45" s="103" t="n">
        <v>63.84</v>
      </c>
      <c r="I45" s="47" t="n"/>
    </row>
    <row r="46" ht="71.5" customHeight="1" s="78" thickBot="1">
      <c r="B46" s="66" t="inlineStr">
        <is>
          <t>Σύνολο (€)</t>
        </is>
      </c>
      <c r="C46" s="104" t="n"/>
      <c r="D46" s="105" t="n">
        <v>63.82</v>
      </c>
      <c r="E46" s="43" t="n"/>
      <c r="F46" s="64" t="inlineStr">
        <is>
          <t>Αξία Ενέργειας βάσει Μετρήσεων (€)</t>
        </is>
      </c>
      <c r="G46" s="85" t="n"/>
      <c r="H46" s="103" t="n">
        <v>5792.8</v>
      </c>
      <c r="I46" s="47" t="n"/>
    </row>
    <row r="47" ht="30" customHeight="1" s="78">
      <c r="E47" s="43" t="n"/>
      <c r="F47" s="64" t="inlineStr">
        <is>
          <t>ΦΠΑ (6%)</t>
        </is>
      </c>
      <c r="G47" s="85" t="n"/>
      <c r="H47" s="49">
        <f>H46*6%</f>
        <v/>
      </c>
      <c r="I47" s="47" t="n"/>
    </row>
    <row r="48" ht="29.75" customHeight="1" s="78">
      <c r="E48" s="43" t="n"/>
      <c r="F48" s="64" t="inlineStr">
        <is>
          <t>Χρέωση ΦοΣΕ με ΦΠΑ (24%)</t>
        </is>
      </c>
      <c r="G48" s="85" t="n"/>
      <c r="H48" s="49">
        <f>-(D46*1.24)</f>
        <v/>
      </c>
      <c r="I48" s="47" t="n"/>
    </row>
    <row r="49" ht="30" customHeight="1" s="78" thickBot="1">
      <c r="E49" s="43" t="n"/>
      <c r="F49" s="66" t="inlineStr">
        <is>
          <t xml:space="preserve">Συνολικό Ποσό προς καταβολή </t>
        </is>
      </c>
      <c r="G49" s="104" t="n"/>
      <c r="H49" s="50">
        <f>H46+H47+H48</f>
        <v/>
      </c>
      <c r="I49" s="47" t="n"/>
    </row>
    <row r="50" ht="37" customHeight="1" s="78" thickBot="1">
      <c r="B50" s="43" t="n"/>
      <c r="C50" s="43" t="n"/>
      <c r="D50" s="43" t="n"/>
      <c r="F50" s="43" t="n"/>
      <c r="G50" s="53" t="n"/>
      <c r="H50" s="43" t="n"/>
    </row>
    <row r="51" ht="36" customHeight="1" s="78">
      <c r="B51" s="58" t="inlineStr">
        <is>
          <t>Στοιχεία Τράπεζας</t>
        </is>
      </c>
      <c r="C51" s="98" t="n"/>
      <c r="D51" s="99" t="n"/>
      <c r="E51" s="43" t="n"/>
      <c r="F51" s="100" t="inlineStr">
        <is>
          <t>Υπολογισμός Τιμολόγησης</t>
        </is>
      </c>
      <c r="G51" s="98" t="n"/>
      <c r="H51" s="101" t="n"/>
      <c r="I51" s="47" t="n"/>
    </row>
    <row r="52" ht="25.25" customHeight="1" s="78">
      <c r="B52" s="51" t="inlineStr">
        <is>
          <t xml:space="preserve"> ΙΒΑΝ</t>
        </is>
      </c>
      <c r="C52" s="106" t="inlineStr">
        <is>
          <t>GR5001106140000061400743573</t>
        </is>
      </c>
      <c r="D52" s="107" t="n"/>
      <c r="E52" s="43" t="n"/>
      <c r="F52" s="64" t="inlineStr">
        <is>
          <t>Αξία Ενέργειας βάσει Μετρήσεων</t>
        </is>
      </c>
      <c r="G52" s="85" t="n"/>
      <c r="H52" s="49">
        <f>H46</f>
        <v/>
      </c>
      <c r="I52" s="47" t="n"/>
    </row>
    <row r="53" ht="28.5" customHeight="1" s="78" thickBot="1">
      <c r="B53" s="52" t="inlineStr">
        <is>
          <t xml:space="preserve"> Ημερομηνία</t>
        </is>
      </c>
      <c r="C53" s="108" t="inlineStr">
        <is>
          <t>14/01/26</t>
        </is>
      </c>
      <c r="D53" s="109" t="n"/>
      <c r="E53" s="43" t="n"/>
      <c r="F53" s="64" t="inlineStr">
        <is>
          <t>ΦΠΑ (6%)</t>
        </is>
      </c>
      <c r="G53" s="85" t="n"/>
      <c r="H53" s="49">
        <f>H52*6%</f>
        <v/>
      </c>
      <c r="I53" s="47" t="n"/>
    </row>
    <row r="54" ht="28.5" customHeight="1" s="78" thickBot="1">
      <c r="B54" s="43" t="n"/>
      <c r="C54" s="43" t="n"/>
      <c r="D54" s="43" t="n"/>
      <c r="E54" s="43" t="n"/>
      <c r="F54" s="66" t="inlineStr">
        <is>
          <t xml:space="preserve">ΓΕΝΙΚΟ ΣΥΝΟΛΟ </t>
        </is>
      </c>
      <c r="G54" s="104" t="n"/>
      <c r="H54" s="45">
        <f>H52+H53</f>
        <v/>
      </c>
      <c r="I54" s="47" t="n"/>
    </row>
    <row r="55" ht="28.75" customHeight="1" s="78"/>
    <row r="56" ht="38.25" customHeight="1" s="78">
      <c r="B56" s="110"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57" ht="39" customHeight="1" s="78"/>
    <row r="58" ht="80" customHeight="1" s="78"/>
    <row r="60" ht="28.75" customHeight="1" s="78"/>
    <row r="62" ht="36" customHeight="1" s="78"/>
    <row r="63" ht="28.5" customHeight="1" s="78"/>
    <row r="64" ht="28.5" customHeight="1" s="78"/>
    <row r="65" ht="28.5" customHeight="1" s="78"/>
  </sheetData>
  <mergeCells count="25">
    <mergeCell ref="I9:M9"/>
    <mergeCell ref="F54:G54"/>
    <mergeCell ref="B46:C46"/>
    <mergeCell ref="B44:D44"/>
    <mergeCell ref="C53:D53"/>
    <mergeCell ref="F45:G45"/>
    <mergeCell ref="G6:H6"/>
    <mergeCell ref="B51:D51"/>
    <mergeCell ref="F47:G47"/>
    <mergeCell ref="D5:F5"/>
    <mergeCell ref="C2:G2"/>
    <mergeCell ref="G5:H5"/>
    <mergeCell ref="F46:G46"/>
    <mergeCell ref="C52:D52"/>
    <mergeCell ref="F44:H44"/>
    <mergeCell ref="C8:G8"/>
    <mergeCell ref="F52:G52"/>
    <mergeCell ref="F48:G48"/>
    <mergeCell ref="G1:H1"/>
    <mergeCell ref="B45:C45"/>
    <mergeCell ref="F49:G49"/>
    <mergeCell ref="B56:H57"/>
    <mergeCell ref="D6:F6"/>
    <mergeCell ref="F53:G53"/>
    <mergeCell ref="F51:H51"/>
  </mergeCells>
  <pageMargins left="0.416667" right="0.416667" top="0.25" bottom="0.25" header="0.25" footer="0.25"/>
  <pageSetup orientation="portrait" scale="59"/>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2026-01-12T15:15:34Z</dcterms:modified>
  <cp:lastModifiedBy>Markella Bournaka</cp:lastModifiedBy>
  <cp:lastPrinted>2025-05-05T11:50:33Z</cp:lastPrinted>
</cp:coreProperties>
</file>