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220" tabRatio="600" firstSheet="0" activeTab="0" autoFilterDateGrouping="1"/>
  </bookViews>
  <sheets>
    <sheet xmlns:r="http://schemas.openxmlformats.org/officeDocument/2006/relationships" name="Energy Production" sheetId="1" state="visible" r:id="rId1"/>
  </sheets>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medium">
        <color theme="6" tint="-0.499984740745262"/>
      </bottom>
      <diagonal/>
    </border>
    <border>
      <left style="medium">
        <color theme="6" tint="-0.499984740745262"/>
      </left>
      <right style="medium">
        <color theme="6" tint="-0.499984740745262"/>
      </right>
      <top style="medium">
        <color theme="6" tint="-0.499984740745262"/>
      </top>
      <bottom style="thin">
        <color indexed="64"/>
      </bottom>
      <diagonal/>
    </border>
    <border>
      <left/>
      <right/>
      <top style="medium">
        <color theme="6" tint="-0.499984740745262"/>
      </top>
      <bottom/>
      <diagonal/>
    </border>
    <border>
      <left/>
      <right style="medium">
        <color theme="6" tint="-0.499984740745262"/>
      </right>
      <top style="medium">
        <color theme="6" tint="-0.499984740745262"/>
      </top>
      <bottom/>
      <diagonal/>
    </border>
    <border>
      <left/>
      <right style="medium">
        <color theme="6" tint="-0.499984740745262"/>
      </right>
      <top style="thin">
        <color indexed="64"/>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1" pivotButton="0" quotePrefix="0" xfId="0"/>
    <xf numFmtId="0" fontId="0" fillId="0" borderId="30"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 fontId="11"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8"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2"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topLeftCell="A34" zoomScale="70" zoomScaleNormal="70" workbookViewId="0">
      <selection activeCell="A39" sqref="A39:XFD3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40"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60" customHeight="1" s="78">
      <c r="B1" s="4" t="n"/>
      <c r="C1" s="4" t="n"/>
      <c r="D1" s="4" t="n"/>
      <c r="E1" s="4" t="n"/>
      <c r="F1" s="4" t="n"/>
      <c r="G1" s="79" t="inlineStr">
        <is>
          <t>Φορέας Σωρευτικής Εκπροσώπησης ΑΠΕ (Φο.Σ.Ε.)
Διεύθυνση: Φιλοπάππου 19, Αθήνα 11741, Ελλάδα 
ΑΦΜ: 801961185, ΓΕΜΗ: 167104201000, ΔΟΥ:ΦΑΕ Αθηνών 
e-mail: info@greenvalue.gr</t>
        </is>
      </c>
    </row>
    <row r="2" ht="80" customHeight="1" s="78">
      <c r="B2" s="4" t="n"/>
      <c r="C2" s="80" t="inlineStr">
        <is>
          <t>Ενημερωτικό Σημείωμα Δεκεμβρίου 2025</t>
        </is>
      </c>
      <c r="H2" s="4" t="n"/>
    </row>
    <row r="3" ht="40" customFormat="1" customHeight="1" s="42">
      <c r="B3" s="71" t="inlineStr">
        <is>
          <t>Α.Μ. ΑΠΕ</t>
        </is>
      </c>
      <c r="C3" s="71" t="inlineStr">
        <is>
          <t>Εταιρεία</t>
        </is>
      </c>
      <c r="D3" s="71" t="inlineStr">
        <is>
          <t>ΑΦΜ</t>
        </is>
      </c>
      <c r="E3" s="71" t="inlineStr">
        <is>
          <t>ΔΟΥ</t>
        </is>
      </c>
      <c r="F3" s="71" t="inlineStr">
        <is>
          <t>Διεύθυνση</t>
        </is>
      </c>
      <c r="G3" s="71" t="inlineStr">
        <is>
          <t>Email</t>
        </is>
      </c>
      <c r="H3" s="71" t="inlineStr">
        <is>
          <t>Τεχνολογία</t>
        </is>
      </c>
      <c r="I3" s="41" t="n"/>
      <c r="J3" s="41" t="n"/>
      <c r="K3" s="41" t="n"/>
      <c r="L3" s="41" t="n"/>
      <c r="M3" s="41" t="n"/>
    </row>
    <row r="4" ht="100" customFormat="1" customHeight="1" s="11">
      <c r="B4" s="7" t="inlineStr">
        <is>
          <t>641PH81938</t>
        </is>
      </c>
      <c r="C4" s="81" t="inlineStr">
        <is>
          <t>ΚΟΡΚΑΣ Π. &amp; ΣΙΑ Ε.Ε. (ΗΛΙΟΔΥΝΑΜΙΚΗ ΒΟΧΑΣ)</t>
        </is>
      </c>
      <c r="D4" s="9" t="n">
        <v>997858642</v>
      </c>
      <c r="E4" s="8" t="inlineStr">
        <is>
          <t>ΚΟΡΙΝΘΟΥ</t>
        </is>
      </c>
      <c r="F4" s="8" t="inlineStr">
        <is>
          <t>80 ΧΛΜ. Π.Ε.Ο. ΑΘΗΝΩΝ-ΚΟΡΙΝΘΟΥ, Τ.Κ. 20100</t>
        </is>
      </c>
      <c r="G4" s="8" t="inlineStr">
        <is>
          <t>pkorkas@tee.gr</t>
        </is>
      </c>
      <c r="H4" s="8" t="inlineStr">
        <is>
          <t>Φ/Β</t>
        </is>
      </c>
      <c r="I4" s="10" t="n"/>
      <c r="J4" s="10" t="n"/>
      <c r="K4" s="10" t="n"/>
      <c r="L4" s="10" t="n"/>
      <c r="M4" s="10" t="n"/>
    </row>
    <row r="5" ht="50" customFormat="1" customHeight="1" s="2">
      <c r="B5" s="71" t="inlineStr">
        <is>
          <t>Ημερομηνία</t>
        </is>
      </c>
      <c r="C5" s="71" t="inlineStr">
        <is>
          <t>Έκδοση</t>
        </is>
      </c>
      <c r="D5" s="71" t="inlineStr">
        <is>
          <t xml:space="preserve">Περίοδος Εκκαθάρισης </t>
        </is>
      </c>
      <c r="G5" s="71" t="inlineStr">
        <is>
          <t>ΣΥΝΟΛΟ ΜΕ ΦΠΑ</t>
        </is>
      </c>
      <c r="I5" s="1" t="n"/>
      <c r="J5" s="1" t="n"/>
      <c r="K5" s="1" t="n"/>
      <c r="L5" s="1" t="n"/>
      <c r="M5" s="1" t="n"/>
    </row>
    <row r="6" ht="60.75" customFormat="1" customHeight="1" s="11">
      <c r="B6" s="82" t="inlineStr">
        <is>
          <t>12/01/26</t>
        </is>
      </c>
      <c r="C6" s="8" t="inlineStr">
        <is>
          <t>Αρχική</t>
        </is>
      </c>
      <c r="D6" s="83" t="inlineStr">
        <is>
          <t>01/12/25-31/12/25</t>
        </is>
      </c>
      <c r="E6" s="84" t="n"/>
      <c r="F6" s="85" t="n"/>
      <c r="G6" s="86">
        <f>H54</f>
        <v/>
      </c>
      <c r="H6" s="85" t="n"/>
      <c r="I6" s="10" t="n"/>
      <c r="J6" s="10" t="n"/>
      <c r="K6" s="10" t="n"/>
      <c r="L6" s="10" t="n"/>
      <c r="M6" s="10" t="n"/>
    </row>
    <row r="7" ht="14" customFormat="1" customHeight="1" s="11">
      <c r="B7" s="87" t="n"/>
      <c r="C7" s="14" t="n"/>
      <c r="D7" s="88" t="n"/>
      <c r="E7" s="88" t="n"/>
      <c r="F7" s="88" t="n"/>
      <c r="G7" s="89" t="n"/>
      <c r="H7" s="90" t="n"/>
      <c r="I7" s="10" t="n"/>
      <c r="J7" s="10" t="n"/>
      <c r="K7" s="10" t="n"/>
      <c r="L7" s="10" t="n"/>
      <c r="M7" s="10" t="n"/>
    </row>
    <row r="8" ht="43" customHeight="1" s="78" thickBot="1">
      <c r="B8" s="18" t="n"/>
      <c r="C8" s="70" t="inlineStr">
        <is>
          <t>Ανάλυση Μηνιαίας Εκκαθάρισης Παραγωγής Ενέργειας Σταθμού</t>
        </is>
      </c>
      <c r="D8" s="91" t="n"/>
      <c r="E8" s="91" t="n"/>
      <c r="F8" s="91" t="n"/>
      <c r="G8" s="91"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2" t="n"/>
    </row>
    <row r="10" ht="31.75" customHeight="1" s="78">
      <c r="C10" s="93" t="inlineStr">
        <is>
          <t>01/12/25</t>
        </is>
      </c>
      <c r="D10" s="26" t="n">
        <v>2112.2</v>
      </c>
      <c r="E10" s="26" t="n">
        <v>199.6128154</v>
      </c>
      <c r="F10" s="26" t="n">
        <v>2.11</v>
      </c>
      <c r="G10" s="94" t="n">
        <v>94.5</v>
      </c>
      <c r="H10" s="95" t="n"/>
    </row>
    <row r="11" ht="30" customHeight="1" s="78">
      <c r="C11" s="93" t="inlineStr">
        <is>
          <t>02/12/25</t>
        </is>
      </c>
      <c r="D11" s="26" t="n">
        <v>1970.32</v>
      </c>
      <c r="E11" s="26" t="n">
        <v>191.7359638</v>
      </c>
      <c r="F11" s="26" t="n">
        <v>1.97</v>
      </c>
      <c r="G11" s="94" t="n">
        <v>97.31</v>
      </c>
      <c r="H11" s="95" t="n"/>
    </row>
    <row r="12" ht="28.5" customHeight="1" s="78">
      <c r="C12" s="93" t="inlineStr">
        <is>
          <t>03/12/25</t>
        </is>
      </c>
      <c r="D12" s="26" t="n">
        <v>357.48</v>
      </c>
      <c r="E12" s="26" t="n">
        <v>53.960308</v>
      </c>
      <c r="F12" s="26" t="n">
        <v>0.36</v>
      </c>
      <c r="G12" s="94" t="n">
        <v>150.95</v>
      </c>
      <c r="H12" s="95" t="n"/>
    </row>
    <row r="13" ht="28.5" customHeight="1" s="78">
      <c r="C13" s="93" t="inlineStr">
        <is>
          <t>04/12/25</t>
        </is>
      </c>
      <c r="D13" s="26" t="n">
        <v>222.9</v>
      </c>
      <c r="E13" s="26" t="n">
        <v>24.8517584</v>
      </c>
      <c r="F13" s="26" t="n">
        <v>0.22</v>
      </c>
      <c r="G13" s="94" t="n">
        <v>111.49</v>
      </c>
      <c r="H13" s="95" t="n"/>
    </row>
    <row r="14" ht="28.5" customHeight="1" s="78">
      <c r="C14" s="93" t="inlineStr">
        <is>
          <t>05/12/25</t>
        </is>
      </c>
      <c r="D14" s="26" t="n">
        <v>125.16</v>
      </c>
      <c r="E14" s="26" t="n">
        <v>18.1121434</v>
      </c>
      <c r="F14" s="26" t="n">
        <v>0.13</v>
      </c>
      <c r="G14" s="94" t="n">
        <v>144.71</v>
      </c>
      <c r="H14" s="95" t="n"/>
    </row>
    <row r="15" ht="28.5" customHeight="1" s="78">
      <c r="C15" s="93" t="inlineStr">
        <is>
          <t>06/12/25</t>
        </is>
      </c>
      <c r="D15" s="26" t="n">
        <v>1185.04</v>
      </c>
      <c r="E15" s="26" t="n">
        <v>124.3310258</v>
      </c>
      <c r="F15" s="26" t="n">
        <v>1.19</v>
      </c>
      <c r="G15" s="94" t="n">
        <v>104.92</v>
      </c>
      <c r="H15" s="95" t="n"/>
    </row>
    <row r="16" ht="28.5" customHeight="1" s="78">
      <c r="C16" s="93" t="inlineStr">
        <is>
          <t>07/12/25</t>
        </is>
      </c>
      <c r="D16" s="26" t="n">
        <v>253.84</v>
      </c>
      <c r="E16" s="26" t="n">
        <v>22.8378972</v>
      </c>
      <c r="F16" s="26" t="n">
        <v>0.25</v>
      </c>
      <c r="G16" s="94" t="n">
        <v>89.97</v>
      </c>
      <c r="H16" s="95" t="n"/>
    </row>
    <row r="17" ht="28.5" customHeight="1" s="78">
      <c r="C17" s="93" t="inlineStr">
        <is>
          <t>08/12/25</t>
        </is>
      </c>
      <c r="D17" s="26" t="n">
        <v>393.02</v>
      </c>
      <c r="E17" s="26" t="n">
        <v>36.2852948</v>
      </c>
      <c r="F17" s="26" t="n">
        <v>0.39</v>
      </c>
      <c r="G17" s="94" t="n">
        <v>92.31999999999999</v>
      </c>
      <c r="H17" s="95" t="n"/>
    </row>
    <row r="18" ht="28.5" customHeight="1" s="78">
      <c r="C18" s="93" t="inlineStr">
        <is>
          <t>09/12/25</t>
        </is>
      </c>
      <c r="D18" s="26" t="n">
        <v>1142.66</v>
      </c>
      <c r="E18" s="26" t="n">
        <v>28.6205574</v>
      </c>
      <c r="F18" s="26" t="n">
        <v>1.14</v>
      </c>
      <c r="G18" s="94" t="n">
        <v>25.05</v>
      </c>
      <c r="H18" s="95" t="n"/>
    </row>
    <row r="19" ht="28.5" customHeight="1" s="78">
      <c r="C19" s="93" t="inlineStr">
        <is>
          <t>10/12/25</t>
        </is>
      </c>
      <c r="D19" s="26" t="n">
        <v>1859.32</v>
      </c>
      <c r="E19" s="26" t="n">
        <v>151.1753074</v>
      </c>
      <c r="F19" s="26" t="n">
        <v>1.86</v>
      </c>
      <c r="G19" s="94" t="n">
        <v>81.31</v>
      </c>
      <c r="H19" s="95" t="n"/>
    </row>
    <row r="20" ht="28.5" customHeight="1" s="78">
      <c r="C20" s="93" t="inlineStr">
        <is>
          <t>11/12/25</t>
        </is>
      </c>
      <c r="D20" s="26" t="n">
        <v>1984.52</v>
      </c>
      <c r="E20" s="26" t="n">
        <v>94.25586</v>
      </c>
      <c r="F20" s="26" t="n">
        <v>1.98</v>
      </c>
      <c r="G20" s="94" t="n">
        <v>47.5</v>
      </c>
      <c r="H20" s="95" t="n"/>
    </row>
    <row r="21" ht="28.5" customHeight="1" s="78">
      <c r="C21" s="93" t="inlineStr">
        <is>
          <t>12/12/25</t>
        </is>
      </c>
      <c r="D21" s="26" t="n">
        <v>1940.04</v>
      </c>
      <c r="E21" s="26" t="n">
        <v>171.762261</v>
      </c>
      <c r="F21" s="26" t="n">
        <v>1.94</v>
      </c>
      <c r="G21" s="94" t="n">
        <v>88.54000000000001</v>
      </c>
      <c r="H21" s="95" t="n"/>
    </row>
    <row r="22" ht="28.5" customHeight="1" s="78">
      <c r="C22" s="93" t="inlineStr">
        <is>
          <t>13/12/25</t>
        </is>
      </c>
      <c r="D22" s="26" t="n">
        <v>110.22</v>
      </c>
      <c r="E22" s="26" t="n">
        <v>10.306288</v>
      </c>
      <c r="F22" s="26" t="n">
        <v>0.11</v>
      </c>
      <c r="G22" s="94" t="n">
        <v>93.51000000000001</v>
      </c>
      <c r="H22" s="95" t="n"/>
    </row>
    <row r="23" ht="28.5" customHeight="1" s="78">
      <c r="C23" s="93" t="inlineStr">
        <is>
          <t>14/12/25</t>
        </is>
      </c>
      <c r="D23" s="26" t="n">
        <v>1841.46</v>
      </c>
      <c r="E23" s="26" t="n">
        <v>147.8587406</v>
      </c>
      <c r="F23" s="26" t="n">
        <v>1.84</v>
      </c>
      <c r="G23" s="94" t="n">
        <v>80.29000000000001</v>
      </c>
      <c r="H23" s="95" t="n"/>
    </row>
    <row r="24" ht="28.5" customHeight="1" s="78">
      <c r="C24" s="93" t="inlineStr">
        <is>
          <t>15/12/25</t>
        </is>
      </c>
      <c r="D24" s="26" t="n">
        <v>1979.98</v>
      </c>
      <c r="E24" s="26" t="n">
        <v>171.0911194</v>
      </c>
      <c r="F24" s="26" t="n">
        <v>1.98</v>
      </c>
      <c r="G24" s="94" t="n">
        <v>86.41</v>
      </c>
      <c r="H24" s="95" t="n"/>
    </row>
    <row r="25" ht="28.5" customHeight="1" s="78">
      <c r="C25" s="93" t="inlineStr">
        <is>
          <t>16/12/25</t>
        </is>
      </c>
      <c r="D25" s="26" t="n">
        <v>1441.94</v>
      </c>
      <c r="E25" s="26" t="n">
        <v>140.9796982</v>
      </c>
      <c r="F25" s="26" t="n">
        <v>1.44</v>
      </c>
      <c r="G25" s="94" t="n">
        <v>97.77</v>
      </c>
      <c r="H25" s="95" t="n"/>
    </row>
    <row r="26" ht="28.5" customHeight="1" s="78">
      <c r="C26" s="93" t="inlineStr">
        <is>
          <t>17/12/25</t>
        </is>
      </c>
      <c r="D26" s="26" t="n">
        <v>1002.84</v>
      </c>
      <c r="E26" s="26" t="n">
        <v>92.6456292</v>
      </c>
      <c r="F26" s="26" t="n">
        <v>1</v>
      </c>
      <c r="G26" s="94" t="n">
        <v>92.38</v>
      </c>
      <c r="H26" s="95" t="n"/>
    </row>
    <row r="27" ht="28.5" customHeight="1" s="78">
      <c r="C27" s="93" t="inlineStr">
        <is>
          <t>18/12/25</t>
        </is>
      </c>
      <c r="D27" s="26" t="n">
        <v>1934.98</v>
      </c>
      <c r="E27" s="26" t="n">
        <v>217.7411924</v>
      </c>
      <c r="F27" s="26" t="n">
        <v>1.93</v>
      </c>
      <c r="G27" s="94" t="n">
        <v>112.53</v>
      </c>
      <c r="H27" s="95" t="n"/>
    </row>
    <row r="28" ht="28.5" customHeight="1" s="78">
      <c r="C28" s="93" t="inlineStr">
        <is>
          <t>19/12/25</t>
        </is>
      </c>
      <c r="D28" s="26" t="n">
        <v>1840.02</v>
      </c>
      <c r="E28" s="26" t="n">
        <v>208.0966208</v>
      </c>
      <c r="F28" s="26" t="n">
        <v>1.84</v>
      </c>
      <c r="G28" s="94" t="n">
        <v>113.09</v>
      </c>
      <c r="H28" s="95" t="n"/>
    </row>
    <row r="29" ht="28.5" customHeight="1" s="78">
      <c r="C29" s="93" t="inlineStr">
        <is>
          <t>20/12/25</t>
        </is>
      </c>
      <c r="D29" s="26" t="n">
        <v>296.74</v>
      </c>
      <c r="E29" s="26" t="n">
        <v>34.194303</v>
      </c>
      <c r="F29" s="26" t="n">
        <v>0.3</v>
      </c>
      <c r="G29" s="94" t="n">
        <v>115.23</v>
      </c>
      <c r="H29" s="95" t="n"/>
    </row>
    <row r="30" ht="28.5" customHeight="1" s="78">
      <c r="C30" s="93" t="inlineStr">
        <is>
          <t>21/12/25</t>
        </is>
      </c>
      <c r="D30" s="26" t="n">
        <v>160.1</v>
      </c>
      <c r="E30" s="26" t="n">
        <v>16.7912152</v>
      </c>
      <c r="F30" s="26" t="n">
        <v>0.16</v>
      </c>
      <c r="G30" s="94" t="n">
        <v>104.88</v>
      </c>
      <c r="H30" s="95" t="n"/>
    </row>
    <row r="31" ht="28.5" customHeight="1" s="78">
      <c r="C31" s="93" t="inlineStr">
        <is>
          <t>22/12/25</t>
        </is>
      </c>
      <c r="D31" s="26" t="n">
        <v>65.86</v>
      </c>
      <c r="E31" s="26" t="n">
        <v>7.829473</v>
      </c>
      <c r="F31" s="26" t="n">
        <v>0.07000000000000001</v>
      </c>
      <c r="G31" s="94" t="n">
        <v>118.88</v>
      </c>
      <c r="H31" s="95" t="n"/>
    </row>
    <row r="32" ht="28.5" customHeight="1" s="78">
      <c r="C32" s="93" t="inlineStr">
        <is>
          <t>23/12/25</t>
        </is>
      </c>
      <c r="D32" s="26" t="n">
        <v>527.48</v>
      </c>
      <c r="E32" s="26" t="n">
        <v>60.04976259999999</v>
      </c>
      <c r="F32" s="26" t="n">
        <v>0.53</v>
      </c>
      <c r="G32" s="94" t="n">
        <v>113.84</v>
      </c>
      <c r="H32" s="95" t="n"/>
    </row>
    <row r="33" ht="28.5" customHeight="1" s="78">
      <c r="C33" s="93" t="inlineStr">
        <is>
          <t>24/12/25</t>
        </is>
      </c>
      <c r="D33" s="26" t="n">
        <v>477.4</v>
      </c>
      <c r="E33" s="26" t="n">
        <v>65.1207132</v>
      </c>
      <c r="F33" s="26" t="n">
        <v>0.48</v>
      </c>
      <c r="G33" s="94" t="n">
        <v>136.41</v>
      </c>
      <c r="H33" s="95" t="n"/>
    </row>
    <row r="34" ht="28.5" customHeight="1" s="78">
      <c r="C34" s="93" t="inlineStr">
        <is>
          <t>25/12/25</t>
        </is>
      </c>
      <c r="D34" s="26" t="n">
        <v>1643.62</v>
      </c>
      <c r="E34" s="26" t="n">
        <v>130.2873936</v>
      </c>
      <c r="F34" s="26" t="n">
        <v>1.64</v>
      </c>
      <c r="G34" s="94" t="n">
        <v>79.27</v>
      </c>
      <c r="H34" s="95" t="n"/>
    </row>
    <row r="35" ht="28.5" customHeight="1" s="78">
      <c r="C35" s="93" t="inlineStr">
        <is>
          <t>26/12/25</t>
        </is>
      </c>
      <c r="D35" s="26" t="n">
        <v>242.06</v>
      </c>
      <c r="E35" s="26" t="n">
        <v>21.621766</v>
      </c>
      <c r="F35" s="26" t="n">
        <v>0.24</v>
      </c>
      <c r="G35" s="94" t="n">
        <v>89.31999999999999</v>
      </c>
      <c r="H35" s="95" t="n"/>
    </row>
    <row r="36" ht="28.5" customHeight="1" s="78">
      <c r="C36" s="93" t="inlineStr">
        <is>
          <t>27/12/25</t>
        </is>
      </c>
      <c r="D36" s="26" t="n">
        <v>558.74</v>
      </c>
      <c r="E36" s="26" t="n">
        <v>41.390466</v>
      </c>
      <c r="F36" s="26" t="n">
        <v>0.5600000000000001</v>
      </c>
      <c r="G36" s="94" t="n">
        <v>74.08</v>
      </c>
      <c r="H36" s="95" t="n"/>
    </row>
    <row r="37" ht="28.5" customHeight="1" s="78">
      <c r="C37" s="93" t="inlineStr">
        <is>
          <t>28/12/25</t>
        </is>
      </c>
      <c r="D37" s="26" t="n">
        <v>2075.84</v>
      </c>
      <c r="E37" s="26" t="n">
        <v>102.2169226</v>
      </c>
      <c r="F37" s="26" t="n">
        <v>2.08</v>
      </c>
      <c r="G37" s="94" t="n">
        <v>49.24</v>
      </c>
      <c r="H37" s="95" t="n"/>
    </row>
    <row r="38" ht="28.5" customHeight="1" s="78">
      <c r="C38" s="93" t="inlineStr">
        <is>
          <t>29/12/25</t>
        </is>
      </c>
      <c r="D38" s="26" t="n">
        <v>2039.68</v>
      </c>
      <c r="E38" s="26" t="n">
        <v>161.337967</v>
      </c>
      <c r="F38" s="26" t="n">
        <v>2.04</v>
      </c>
      <c r="G38" s="94" t="n">
        <v>79.09999999999999</v>
      </c>
      <c r="H38" s="95" t="n"/>
    </row>
    <row r="39" ht="28.5" customHeight="1" s="78">
      <c r="C39" s="93" t="inlineStr">
        <is>
          <t>30/12/25</t>
        </is>
      </c>
      <c r="D39" s="26" t="n">
        <v>1481.82</v>
      </c>
      <c r="E39" s="26" t="n">
        <v>109.8239766</v>
      </c>
      <c r="F39" s="26" t="n">
        <v>1.48</v>
      </c>
      <c r="G39" s="94" t="n">
        <v>74.11</v>
      </c>
      <c r="H39" s="95" t="n"/>
    </row>
    <row r="40" ht="28.5" customHeight="1" s="78">
      <c r="C40" s="93" t="inlineStr">
        <is>
          <t>31/12/25</t>
        </is>
      </c>
      <c r="D40" s="26" t="n">
        <v>94.92</v>
      </c>
      <c r="E40" s="26" t="n">
        <v>8.344944399999999</v>
      </c>
      <c r="F40" s="26" t="n">
        <v>0.09</v>
      </c>
      <c r="G40" s="94" t="n">
        <v>87.92</v>
      </c>
      <c r="H40" s="95" t="n"/>
    </row>
    <row r="41" ht="28.5" customHeight="1" s="78" thickBot="1">
      <c r="C41" s="30" t="inlineStr">
        <is>
          <t>Σύνολο</t>
        </is>
      </c>
      <c r="D41" s="31" t="n">
        <v>33362.2</v>
      </c>
      <c r="E41" s="31" t="n">
        <v>2865.27</v>
      </c>
      <c r="F41" s="31" t="n">
        <v>33.35</v>
      </c>
      <c r="G41" s="96" t="n">
        <v>85.88</v>
      </c>
      <c r="H41" s="95" t="n"/>
    </row>
    <row r="42" ht="28.5" customHeight="1" s="78">
      <c r="C42" s="33" t="n"/>
      <c r="D42" s="34" t="n"/>
      <c r="E42" s="34" t="n"/>
      <c r="F42" s="35" t="n"/>
      <c r="G42" s="97" t="n"/>
      <c r="H42" s="95" t="n"/>
    </row>
    <row r="43" ht="49" customHeight="1" s="78" thickBot="1">
      <c r="B43" s="43" t="n"/>
      <c r="C43" s="43" t="n"/>
      <c r="D43" s="43" t="n"/>
    </row>
    <row r="44" ht="31" customHeight="1" s="78">
      <c r="B44" s="58" t="inlineStr">
        <is>
          <t>Ανάλυση Χρεώσεων και Υπηρεσίων ΦοΣΕ</t>
        </is>
      </c>
      <c r="C44" s="98" t="n"/>
      <c r="D44" s="99" t="n"/>
      <c r="E44" s="19" t="n"/>
      <c r="F44" s="100" t="inlineStr">
        <is>
          <t>Υπολογισμός προς καταβολή</t>
        </is>
      </c>
      <c r="G44" s="98" t="n"/>
      <c r="H44" s="101" t="n"/>
      <c r="I44" s="47" t="n"/>
    </row>
    <row r="45" ht="36" customHeight="1" s="78">
      <c r="B45" s="64" t="inlineStr">
        <is>
          <t>Μοναδιαία Χρέωση ΦοΣΕ</t>
        </is>
      </c>
      <c r="C45" s="85" t="n"/>
      <c r="D45" s="102" t="n">
        <v>1</v>
      </c>
      <c r="E45" s="46" t="n"/>
      <c r="F45" s="64" t="inlineStr">
        <is>
          <t>Παραγωγή Ενέργειας βάσει Μετρήσεων (ΜWh)</t>
        </is>
      </c>
      <c r="G45" s="85" t="n"/>
      <c r="H45" s="103" t="n">
        <v>33.36</v>
      </c>
      <c r="I45" s="47" t="n"/>
    </row>
    <row r="46" ht="71.5" customHeight="1" s="78" thickBot="1">
      <c r="B46" s="66" t="inlineStr">
        <is>
          <t>Σύνολο (€)</t>
        </is>
      </c>
      <c r="C46" s="104" t="n"/>
      <c r="D46" s="105" t="n">
        <v>33.35</v>
      </c>
      <c r="E46" s="43" t="n"/>
      <c r="F46" s="64" t="inlineStr">
        <is>
          <t>Αξία Ενέργειας βάσει Μετρήσεων (€)</t>
        </is>
      </c>
      <c r="G46" s="85" t="n"/>
      <c r="H46" s="103" t="n">
        <v>2865.27</v>
      </c>
      <c r="I46" s="47" t="n"/>
    </row>
    <row r="47" ht="30" customHeight="1" s="78">
      <c r="E47" s="43" t="n"/>
      <c r="F47" s="64" t="inlineStr">
        <is>
          <t>ΦΠΑ (6%)</t>
        </is>
      </c>
      <c r="G47" s="85" t="n"/>
      <c r="H47" s="49">
        <f>H46*6%</f>
        <v/>
      </c>
      <c r="I47" s="47" t="n"/>
    </row>
    <row r="48" ht="29.75" customHeight="1" s="78">
      <c r="E48" s="43" t="n"/>
      <c r="F48" s="64" t="inlineStr">
        <is>
          <t>Χρέωση ΦοΣΕ με ΦΠΑ (24%)</t>
        </is>
      </c>
      <c r="G48" s="85" t="n"/>
      <c r="H48" s="49">
        <f>-(D46*1.24)</f>
        <v/>
      </c>
      <c r="I48" s="47" t="n"/>
    </row>
    <row r="49" ht="30" customHeight="1" s="78" thickBot="1">
      <c r="E49" s="43" t="n"/>
      <c r="F49" s="66" t="inlineStr">
        <is>
          <t xml:space="preserve">Συνολικό Ποσό προς καταβολή </t>
        </is>
      </c>
      <c r="G49" s="104" t="n"/>
      <c r="H49" s="50">
        <f>H46+H47+H48</f>
        <v/>
      </c>
      <c r="I49" s="47" t="n"/>
    </row>
    <row r="50" ht="37" customHeight="1" s="78" thickBot="1">
      <c r="B50" s="43" t="n"/>
      <c r="C50" s="43" t="n"/>
      <c r="D50" s="43" t="n"/>
      <c r="F50" s="43" t="n"/>
      <c r="G50" s="53" t="n"/>
      <c r="H50" s="43" t="n"/>
    </row>
    <row r="51" ht="36" customHeight="1" s="78">
      <c r="B51" s="58" t="inlineStr">
        <is>
          <t>Στοιχεία Τράπεζας</t>
        </is>
      </c>
      <c r="C51" s="98" t="n"/>
      <c r="D51" s="99" t="n"/>
      <c r="E51" s="43" t="n"/>
      <c r="F51" s="100" t="inlineStr">
        <is>
          <t>Υπολογισμός Τιμολόγησης</t>
        </is>
      </c>
      <c r="G51" s="98" t="n"/>
      <c r="H51" s="101" t="n"/>
      <c r="I51" s="47" t="n"/>
    </row>
    <row r="52" ht="25.25" customHeight="1" s="78">
      <c r="B52" s="51" t="inlineStr">
        <is>
          <t xml:space="preserve"> ΙΒΑΝ</t>
        </is>
      </c>
      <c r="C52" s="106" t="inlineStr">
        <is>
          <t>GR9301713350006335149352507</t>
        </is>
      </c>
      <c r="D52" s="107" t="n"/>
      <c r="E52" s="43" t="n"/>
      <c r="F52" s="64" t="inlineStr">
        <is>
          <t>Αξία Ενέργειας βάσει Μετρήσεων</t>
        </is>
      </c>
      <c r="G52" s="85" t="n"/>
      <c r="H52" s="49">
        <f>H46</f>
        <v/>
      </c>
      <c r="I52" s="47" t="n"/>
    </row>
    <row r="53" ht="28.5" customHeight="1" s="78" thickBot="1">
      <c r="B53" s="52" t="inlineStr">
        <is>
          <t xml:space="preserve"> Ημερομηνία</t>
        </is>
      </c>
      <c r="C53" s="108" t="inlineStr">
        <is>
          <t>14/01/26</t>
        </is>
      </c>
      <c r="D53" s="109" t="n"/>
      <c r="E53" s="43" t="n"/>
      <c r="F53" s="64" t="inlineStr">
        <is>
          <t>ΦΠΑ (6%)</t>
        </is>
      </c>
      <c r="G53" s="85" t="n"/>
      <c r="H53" s="49">
        <f>H52*6%</f>
        <v/>
      </c>
      <c r="I53" s="47" t="n"/>
    </row>
    <row r="54" ht="28.5" customHeight="1" s="78" thickBot="1">
      <c r="B54" s="43" t="n"/>
      <c r="C54" s="43" t="n"/>
      <c r="D54" s="43" t="n"/>
      <c r="E54" s="43" t="n"/>
      <c r="F54" s="66" t="inlineStr">
        <is>
          <t xml:space="preserve">ΓΕΝΙΚΟ ΣΥΝΟΛΟ </t>
        </is>
      </c>
      <c r="G54" s="104" t="n"/>
      <c r="H54" s="45">
        <f>H52+H53</f>
        <v/>
      </c>
      <c r="I54" s="47" t="n"/>
    </row>
    <row r="55" ht="28.75" customHeight="1" s="78"/>
    <row r="56" ht="38.25" customHeight="1" s="78">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8"/>
    <row r="58" ht="80" customHeight="1" s="78"/>
    <row r="60" ht="28.75" customHeight="1" s="78"/>
    <row r="62" ht="36" customHeight="1" s="78"/>
    <row r="63" ht="28.5" customHeight="1" s="78"/>
    <row r="64" ht="28.5" customHeight="1" s="78"/>
    <row r="65" ht="28.5" customHeight="1" s="78"/>
  </sheetData>
  <mergeCells count="25">
    <mergeCell ref="I9:M9"/>
    <mergeCell ref="F54:G54"/>
    <mergeCell ref="B46:C46"/>
    <mergeCell ref="B44:D44"/>
    <mergeCell ref="C53:D53"/>
    <mergeCell ref="F45:G45"/>
    <mergeCell ref="G6:H6"/>
    <mergeCell ref="B51:D51"/>
    <mergeCell ref="F47:G47"/>
    <mergeCell ref="D5:F5"/>
    <mergeCell ref="C2:G2"/>
    <mergeCell ref="G5:H5"/>
    <mergeCell ref="F46:G46"/>
    <mergeCell ref="C52:D52"/>
    <mergeCell ref="F44:H44"/>
    <mergeCell ref="C8:G8"/>
    <mergeCell ref="F52:G52"/>
    <mergeCell ref="F48:G48"/>
    <mergeCell ref="G1:H1"/>
    <mergeCell ref="B45:C45"/>
    <mergeCell ref="F49:G49"/>
    <mergeCell ref="B56:H57"/>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2026-01-12T14:48:59Z</dcterms:modified>
  <cp:lastModifiedBy>Markella Bournaka</cp:lastModifiedBy>
  <cp:lastPrinted>2025-05-05T11:50:33Z</cp:lastPrinted>
</cp:coreProperties>
</file>